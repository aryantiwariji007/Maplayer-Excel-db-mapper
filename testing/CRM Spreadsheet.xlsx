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d.docs.live.net/E4419B9BCEAED11B/ABC/Scot.Ai/"/>
    </mc:Choice>
  </mc:AlternateContent>
  <xr:revisionPtr revIDLastSave="0" documentId="8_{47F86828-9027-4FD1-8B67-F05F6A2A1CD1}" xr6:coauthVersionLast="47" xr6:coauthVersionMax="47" xr10:uidLastSave="{00000000-0000-0000-0000-000000000000}"/>
  <bookViews>
    <workbookView xWindow="4440" yWindow="740" windowWidth="24960" windowHeight="16920" xr2:uid="{58DD948B-2B96-EE43-9082-7626ACFF2CAF}"/>
  </bookViews>
  <sheets>
    <sheet name="Company Overview" sheetId="1" r:id="rId1"/>
    <sheet name="Netherlands Trip" sheetId="33" r:id="rId2"/>
    <sheet name="Open Actions" sheetId="11" r:id="rId3"/>
    <sheet name="Events" sheetId="9" r:id="rId4"/>
    <sheet name="The Future" sheetId="32" r:id="rId5"/>
    <sheet name="Client Evolution" sheetId="31" r:id="rId6"/>
    <sheet name="Marketing" sheetId="7" r:id="rId7"/>
    <sheet name="Change Log" sheetId="29" r:id="rId8"/>
    <sheet name="Keyword Planner" sheetId="27" r:id="rId9"/>
    <sheet name="Marketing Calendar" sheetId="21" r:id="rId10"/>
    <sheet name="Press Release Contacts" sheetId="28" r:id="rId11"/>
    <sheet name="Action" sheetId="30" r:id="rId12"/>
    <sheet name="Awards Evaluation" sheetId="25" r:id="rId13"/>
    <sheet name="Discovery Template" sheetId="26" r:id="rId14"/>
    <sheet name="Marketing Blog" sheetId="24" r:id="rId15"/>
    <sheet name="LinkedIn Calendar" sheetId="23" r:id="rId16"/>
    <sheet name="Vattenfall Proposal" sheetId="22" r:id="rId17"/>
    <sheet name="mAint Cull" sheetId="20" r:id="rId18"/>
    <sheet name="Kensit Briefings for Linkedin" sheetId="16" r:id="rId19"/>
    <sheet name="Akva Action Tracker" sheetId="15" r:id="rId20"/>
    <sheet name="GPT prompt format" sheetId="14" r:id="rId21"/>
    <sheet name="ValveWorld" sheetId="12" r:id="rId22"/>
    <sheet name="Feature list for Shorts" sheetId="8" r:id="rId23"/>
    <sheet name="Copy this Format" sheetId="6" r:id="rId24"/>
    <sheet name="Frisch" sheetId="2" r:id="rId25"/>
    <sheet name="Ashtead" sheetId="3" r:id="rId26"/>
    <sheet name="Control Valve Solutions" sheetId="4" r:id="rId27"/>
    <sheet name="Centurion Group" sheetId="18" r:id="rId28"/>
    <sheet name="Green Cat Calc" sheetId="13" r:id="rId29"/>
  </sheets>
  <definedNames>
    <definedName name="_xlnm._FilterDatabase" localSheetId="12" hidden="1">'Awards Evaluation'!$B$5:$O$5</definedName>
    <definedName name="_xlnm._FilterDatabase" localSheetId="0" hidden="1">'Company Overview'!$A$3:$X$489</definedName>
    <definedName name="_xlnm._FilterDatabase" localSheetId="3" hidden="1">Events!$A$1:$J$28</definedName>
    <definedName name="_xlnm._FilterDatabase" localSheetId="17" hidden="1">'mAint Cull'!$A$2:$F$2</definedName>
    <definedName name="_xlnm._FilterDatabase" localSheetId="6" hidden="1">Marketing!$A$16:$K$16</definedName>
    <definedName name="_xlnm._FilterDatabase" localSheetId="2" hidden="1">'Open Actions'!$A$1:$F$40</definedName>
    <definedName name="_xlnm._FilterDatabase" localSheetId="10" hidden="1">'Press Release Contacts'!$A$1:$C$1</definedName>
    <definedName name="_xlnm._FilterDatabase" localSheetId="21" hidden="1">ValveWorld!$A$1:$H$487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1" l="1"/>
  <c r="R98" i="1" l="1"/>
  <c r="R61" i="1"/>
  <c r="R50" i="1"/>
  <c r="R19" i="1"/>
  <c r="R52" i="1"/>
  <c r="R49" i="1" l="1"/>
  <c r="R90" i="1"/>
  <c r="R468" i="1"/>
  <c r="R155" i="1"/>
  <c r="R92" i="1"/>
  <c r="R89" i="1"/>
  <c r="R93" i="1"/>
  <c r="R94" i="1"/>
  <c r="R97" i="1"/>
  <c r="R58" i="1"/>
  <c r="R25" i="1"/>
  <c r="R28" i="1"/>
  <c r="R311" i="1"/>
  <c r="R30" i="1"/>
  <c r="R29" i="1"/>
  <c r="R31" i="1"/>
  <c r="R76" i="1"/>
  <c r="R152" i="1"/>
  <c r="R51" i="1"/>
  <c r="R43" i="1"/>
  <c r="R13" i="1"/>
  <c r="R38" i="1"/>
  <c r="R77" i="1"/>
  <c r="R41" i="1"/>
  <c r="R75" i="1"/>
  <c r="R72" i="1"/>
  <c r="R80" i="1"/>
  <c r="R149" i="1"/>
  <c r="R37" i="1"/>
  <c r="R17" i="1"/>
  <c r="R40" i="1"/>
  <c r="R21" i="1"/>
  <c r="R44" i="1"/>
  <c r="R379" i="1"/>
  <c r="R448" i="1"/>
  <c r="R54" i="1"/>
  <c r="R27" i="1"/>
  <c r="R425" i="1"/>
  <c r="R79" i="1"/>
  <c r="R26" i="1" l="1"/>
  <c r="R45" i="1"/>
  <c r="R33" i="1"/>
  <c r="R380" i="1" l="1"/>
  <c r="R35" i="1"/>
  <c r="R47" i="1"/>
  <c r="R66" i="1" l="1"/>
  <c r="R22" i="1"/>
  <c r="R426" i="1"/>
  <c r="R82" i="1"/>
  <c r="R153" i="1" l="1"/>
  <c r="R141" i="1"/>
  <c r="R142" i="1"/>
  <c r="R67" i="1"/>
  <c r="R146" i="1"/>
  <c r="R57" i="1" l="1"/>
  <c r="R23" i="1"/>
  <c r="R5" i="1"/>
  <c r="R9" i="1"/>
  <c r="R71" i="1"/>
  <c r="R53" i="1"/>
  <c r="R148" i="1"/>
  <c r="R70" i="1"/>
  <c r="R39" i="1"/>
  <c r="R137" i="1"/>
  <c r="R20" i="1"/>
  <c r="R60" i="1"/>
  <c r="R74" i="1"/>
  <c r="R138" i="1"/>
  <c r="R151" i="1"/>
  <c r="R68" i="1"/>
  <c r="R69" i="1"/>
  <c r="R63" i="1"/>
  <c r="R42" i="1"/>
  <c r="R65" i="1"/>
  <c r="R56" i="1"/>
  <c r="F18" i="31" l="1"/>
  <c r="R298" i="1"/>
  <c r="R132" i="1"/>
  <c r="R64" i="1"/>
  <c r="R95" i="1"/>
  <c r="R470" i="1"/>
  <c r="R295" i="1" l="1"/>
  <c r="R296" i="1"/>
  <c r="R291" i="1" l="1"/>
  <c r="R292" i="1"/>
  <c r="R24" i="1"/>
  <c r="G64" i="29"/>
  <c r="I64" i="29" s="1"/>
  <c r="K64" i="29" s="1"/>
  <c r="M64" i="29" s="1"/>
  <c r="E64" i="29"/>
  <c r="R55" i="1"/>
  <c r="R297" i="1"/>
  <c r="R116" i="1"/>
  <c r="R289" i="1"/>
  <c r="R15" i="1"/>
  <c r="R378" i="1"/>
  <c r="G4" i="29"/>
  <c r="I4" i="29" s="1"/>
  <c r="K4" i="29" s="1"/>
  <c r="M4" i="29" s="1"/>
  <c r="R287" i="1" l="1"/>
  <c r="R114" i="1"/>
  <c r="R16" i="1"/>
  <c r="R12" i="1"/>
  <c r="J24" i="7"/>
  <c r="C31" i="7"/>
  <c r="C32" i="7" s="1"/>
  <c r="C22" i="7"/>
  <c r="C35" i="7" s="1"/>
  <c r="C37" i="7" s="1"/>
  <c r="C38" i="7" s="1"/>
  <c r="C42" i="7" s="1"/>
  <c r="C43" i="7" s="1"/>
  <c r="C46" i="7" s="1"/>
  <c r="C49" i="7" s="1"/>
  <c r="R290" i="1"/>
  <c r="R8" i="1"/>
  <c r="R458" i="1"/>
  <c r="R469" i="1"/>
  <c r="R108" i="1"/>
  <c r="R73" i="1"/>
  <c r="A97" i="21" l="1"/>
  <c r="A66" i="21"/>
  <c r="A57" i="21"/>
  <c r="A89" i="21"/>
  <c r="D3" i="21"/>
  <c r="E3" i="21" s="1"/>
  <c r="F3" i="21" s="1"/>
  <c r="G3" i="21" s="1"/>
  <c r="H3" i="21" s="1"/>
  <c r="I3" i="21" s="1"/>
  <c r="J3" i="21" s="1"/>
  <c r="K3" i="21" s="1"/>
  <c r="L3" i="21" s="1"/>
  <c r="M3" i="21" s="1"/>
  <c r="N3" i="21" s="1"/>
  <c r="O3" i="21" s="1"/>
  <c r="P3" i="21" s="1"/>
  <c r="Q3" i="21" s="1"/>
  <c r="R3" i="21" s="1"/>
  <c r="S3" i="21" s="1"/>
  <c r="T3" i="21" s="1"/>
  <c r="U3" i="21" s="1"/>
  <c r="V3" i="21" s="1"/>
  <c r="W3" i="21" s="1"/>
  <c r="X3" i="21" s="1"/>
  <c r="Y3" i="21" s="1"/>
  <c r="Z3" i="21" s="1"/>
  <c r="AA3" i="21" s="1"/>
  <c r="AB3" i="21" s="1"/>
  <c r="AC3" i="21" s="1"/>
  <c r="AD3" i="21" s="1"/>
  <c r="AE3" i="21" s="1"/>
  <c r="AF3" i="21" s="1"/>
  <c r="AG3" i="21" s="1"/>
  <c r="AH3" i="21" s="1"/>
  <c r="AI3" i="21" s="1"/>
  <c r="AJ3" i="21" s="1"/>
  <c r="R133" i="1"/>
  <c r="R59" i="1"/>
  <c r="R62" i="1"/>
  <c r="R147" i="1"/>
  <c r="R129" i="1"/>
  <c r="R130" i="1"/>
  <c r="R281" i="1"/>
  <c r="R140" i="1"/>
  <c r="R106" i="1"/>
  <c r="R282" i="1"/>
  <c r="R118" i="1"/>
  <c r="R158" i="1"/>
  <c r="R284" i="1"/>
  <c r="R423" i="1"/>
  <c r="R109" i="1"/>
  <c r="R279" i="1"/>
  <c r="R122" i="1"/>
  <c r="R117" i="1"/>
  <c r="R123" i="1"/>
  <c r="R120" i="1"/>
  <c r="R139" i="1"/>
  <c r="R135" i="1"/>
  <c r="R104" i="1"/>
  <c r="R81" i="1"/>
  <c r="R286" i="1"/>
  <c r="R119" i="1"/>
  <c r="R276" i="1"/>
  <c r="R115" i="1" l="1"/>
  <c r="R277" i="1"/>
  <c r="R421" i="1"/>
  <c r="R102" i="1"/>
  <c r="R278" i="1"/>
  <c r="R105" i="1"/>
  <c r="R424" i="1"/>
  <c r="R157" i="1"/>
  <c r="R156" i="1"/>
  <c r="R274" i="1"/>
  <c r="R267" i="1"/>
  <c r="R136" i="1"/>
  <c r="R48" i="1"/>
  <c r="R373" i="1" l="1"/>
  <c r="R266" i="1"/>
  <c r="R272" i="1"/>
  <c r="R265" i="1"/>
  <c r="R125" i="1"/>
  <c r="R110" i="1"/>
  <c r="R269" i="1"/>
  <c r="R103" i="1"/>
  <c r="R121" i="1"/>
  <c r="R101" i="1"/>
  <c r="R273" i="1"/>
  <c r="R124" i="1"/>
  <c r="R18" i="1"/>
  <c r="R270" i="1" l="1"/>
  <c r="R465" i="1"/>
  <c r="R369" i="1"/>
  <c r="R299" i="1"/>
  <c r="R107" i="1"/>
  <c r="R376" i="1"/>
  <c r="R261" i="1"/>
  <c r="R260" i="1" l="1"/>
  <c r="R78" i="1"/>
  <c r="R264" i="1"/>
  <c r="R10" i="1"/>
  <c r="R258" i="1"/>
  <c r="R256" i="1"/>
  <c r="R255" i="1"/>
  <c r="R365" i="1"/>
  <c r="R127" i="1"/>
  <c r="R254" i="1"/>
  <c r="R447" i="1"/>
  <c r="R240" i="1"/>
  <c r="R253" i="1"/>
  <c r="R247" i="1"/>
  <c r="R248" i="1"/>
  <c r="R257" i="1"/>
  <c r="R252" i="1"/>
  <c r="R88" i="1"/>
  <c r="R375" i="1"/>
  <c r="R83" i="1"/>
  <c r="R259" i="1"/>
  <c r="R134" i="1"/>
  <c r="R446" i="1"/>
  <c r="R11" i="1"/>
  <c r="R4" i="1"/>
  <c r="R275" i="1"/>
  <c r="R14" i="1"/>
  <c r="R368" i="1"/>
  <c r="R268" i="1"/>
  <c r="R111" i="1"/>
  <c r="R221" i="1"/>
  <c r="R422" i="1"/>
  <c r="R371" i="1"/>
  <c r="R367" i="1"/>
  <c r="R219" i="1"/>
  <c r="R216" i="1"/>
  <c r="R220" i="1"/>
  <c r="R218" i="1"/>
  <c r="R223" i="1"/>
  <c r="R126" i="1"/>
  <c r="R420" i="1"/>
  <c r="R370" i="1"/>
  <c r="R232" i="1"/>
  <c r="R214" i="1"/>
  <c r="R6" i="1"/>
  <c r="R293" i="1" l="1"/>
  <c r="R225" i="1" l="1"/>
  <c r="R212" i="1"/>
  <c r="R7" i="1"/>
  <c r="R363" i="1"/>
  <c r="R285" i="1"/>
  <c r="R96" i="1"/>
  <c r="R362" i="1"/>
  <c r="R210" i="1" l="1"/>
  <c r="R211" i="1"/>
  <c r="R228" i="1"/>
  <c r="R46" i="1"/>
  <c r="R222" i="1"/>
  <c r="R113" i="1"/>
  <c r="R209" i="1"/>
  <c r="R217" i="1"/>
  <c r="R213" i="1"/>
  <c r="R208" i="1"/>
  <c r="R112" i="1"/>
  <c r="R372" i="1"/>
  <c r="R366" i="1" l="1"/>
  <c r="M22" i="18" l="1"/>
  <c r="M23" i="18" s="1"/>
  <c r="M24" i="18" s="1"/>
  <c r="H22" i="18"/>
  <c r="R300" i="1"/>
  <c r="R215" i="1"/>
  <c r="N22" i="18" l="1"/>
  <c r="R131" i="1"/>
  <c r="O22" i="18" l="1"/>
  <c r="N23" i="18"/>
  <c r="N24" i="18" s="1"/>
  <c r="R205" i="1"/>
  <c r="P22" i="18" l="1"/>
  <c r="O23" i="18"/>
  <c r="O24" i="18" s="1"/>
  <c r="R206" i="1"/>
  <c r="R263" i="1"/>
  <c r="R280" i="1"/>
  <c r="R419" i="1"/>
  <c r="R99" i="1"/>
  <c r="R417" i="1"/>
  <c r="R201" i="1"/>
  <c r="R374" i="1"/>
  <c r="R358" i="1"/>
  <c r="R443" i="1"/>
  <c r="R202" i="1"/>
  <c r="R444" i="1"/>
  <c r="R445" i="1"/>
  <c r="R418" i="1"/>
  <c r="R204" i="1"/>
  <c r="R233" i="1"/>
  <c r="R207" i="1"/>
  <c r="R356" i="1"/>
  <c r="R361" i="1"/>
  <c r="R194" i="1"/>
  <c r="R415" i="1"/>
  <c r="R414" i="1"/>
  <c r="R351" i="1"/>
  <c r="R359" i="1"/>
  <c r="R353" i="1"/>
  <c r="E3" i="15"/>
  <c r="R413" i="1"/>
  <c r="R203" i="1"/>
  <c r="Q22" i="18" l="1"/>
  <c r="R22" i="18" s="1"/>
  <c r="P23" i="18"/>
  <c r="P24" i="18" s="1"/>
  <c r="R357" i="1"/>
  <c r="R352" i="1"/>
  <c r="S22" i="18" l="1"/>
  <c r="R23" i="18"/>
  <c r="R24" i="18" s="1"/>
  <c r="Q23" i="18"/>
  <c r="Q24" i="18" s="1"/>
  <c r="R224" i="1"/>
  <c r="R349" i="1"/>
  <c r="R350" i="1"/>
  <c r="R193" i="1"/>
  <c r="R191" i="1"/>
  <c r="R192" i="1"/>
  <c r="S23" i="18" l="1"/>
  <c r="S24" i="18" s="1"/>
  <c r="T22" i="18"/>
  <c r="R348" i="1"/>
  <c r="R230" i="1"/>
  <c r="R410" i="1"/>
  <c r="R409" i="1"/>
  <c r="R408" i="1"/>
  <c r="R229" i="1"/>
  <c r="R294" i="1"/>
  <c r="R190" i="1"/>
  <c r="R188" i="1"/>
  <c r="R283" i="1"/>
  <c r="R189" i="1"/>
  <c r="R347" i="1"/>
  <c r="R185" i="1"/>
  <c r="R186" i="1"/>
  <c r="R231" i="1"/>
  <c r="T23" i="18" l="1"/>
  <c r="T24" i="18" s="1"/>
  <c r="U22" i="18"/>
  <c r="R346" i="1"/>
  <c r="R405" i="1"/>
  <c r="R183" i="1"/>
  <c r="R182" i="1"/>
  <c r="R181" i="1"/>
  <c r="R271" i="1"/>
  <c r="R412" i="1"/>
  <c r="R180" i="1"/>
  <c r="R442" i="1"/>
  <c r="R404" i="1"/>
  <c r="R401" i="1"/>
  <c r="R402" i="1"/>
  <c r="R411" i="1"/>
  <c r="R187" i="1"/>
  <c r="R457" i="1"/>
  <c r="U23" i="18" l="1"/>
  <c r="U24" i="18" s="1"/>
  <c r="V22" i="18"/>
  <c r="R179" i="1"/>
  <c r="R178" i="1"/>
  <c r="R399" i="1"/>
  <c r="R360" i="1"/>
  <c r="R403" i="1"/>
  <c r="R345" i="1"/>
  <c r="R177" i="1"/>
  <c r="R395" i="1"/>
  <c r="R456" i="1"/>
  <c r="R398" i="1"/>
  <c r="R397" i="1"/>
  <c r="R173" i="1"/>
  <c r="R396" i="1"/>
  <c r="R341" i="1"/>
  <c r="R343" i="1"/>
  <c r="R340" i="1"/>
  <c r="R400" i="1"/>
  <c r="R172" i="1"/>
  <c r="R394" i="1"/>
  <c r="R439" i="1"/>
  <c r="R454" i="1"/>
  <c r="R169" i="1"/>
  <c r="R416" i="1"/>
  <c r="R171" i="1"/>
  <c r="R455" i="1"/>
  <c r="R174" i="1"/>
  <c r="R168" i="1"/>
  <c r="R338" i="1"/>
  <c r="R32" i="1"/>
  <c r="R86" i="1"/>
  <c r="R391" i="1"/>
  <c r="R390" i="1"/>
  <c r="R36" i="1"/>
  <c r="R452" i="1"/>
  <c r="R388" i="1"/>
  <c r="R387" i="1"/>
  <c r="R331" i="1"/>
  <c r="R336" i="1"/>
  <c r="R333" i="1"/>
  <c r="R328" i="1"/>
  <c r="R315" i="1"/>
  <c r="R312" i="1"/>
  <c r="R166" i="1"/>
  <c r="R165" i="1"/>
  <c r="R159" i="1"/>
  <c r="R161" i="1"/>
  <c r="R386" i="1"/>
  <c r="R160" i="1"/>
  <c r="R384" i="1"/>
  <c r="R322" i="1"/>
  <c r="R434" i="1"/>
  <c r="R433" i="1"/>
  <c r="R317" i="1"/>
  <c r="R128" i="1"/>
  <c r="R314" i="1"/>
  <c r="R316" i="1"/>
  <c r="R319" i="1"/>
  <c r="R436" i="1"/>
  <c r="R335" i="1"/>
  <c r="R162" i="1"/>
  <c r="R332" i="1"/>
  <c r="R329" i="1"/>
  <c r="R334" i="1"/>
  <c r="R385" i="1"/>
  <c r="R326" i="1"/>
  <c r="R327" i="1"/>
  <c r="R325" i="1"/>
  <c r="R175" i="1"/>
  <c r="R324" i="1"/>
  <c r="R342" i="1"/>
  <c r="R321" i="1"/>
  <c r="R320" i="1"/>
  <c r="R318" i="1"/>
  <c r="R432" i="1"/>
  <c r="R313" i="1"/>
  <c r="R226" i="1"/>
  <c r="R100" i="1"/>
  <c r="R323" i="1"/>
  <c r="R337" i="1"/>
  <c r="R163" i="1"/>
  <c r="R330" i="1"/>
  <c r="R164" i="1"/>
  <c r="R389" i="1"/>
  <c r="R406" i="1"/>
  <c r="R438" i="1"/>
  <c r="R392" i="1"/>
  <c r="R167" i="1"/>
  <c r="R227" i="1"/>
  <c r="R176" i="1"/>
  <c r="R441" i="1"/>
  <c r="R199" i="1"/>
  <c r="R435" i="1"/>
  <c r="R437" i="1"/>
  <c r="R262" i="1"/>
  <c r="W22" i="18" l="1"/>
  <c r="W23" i="18" s="1"/>
  <c r="W24" i="18" s="1"/>
  <c r="V23" i="18"/>
  <c r="V24" i="18" s="1"/>
  <c r="X22" i="18" l="1"/>
  <c r="Y22" i="18" s="1"/>
  <c r="X23" i="18" l="1"/>
  <c r="X24" i="18" s="1"/>
  <c r="Y23" i="18"/>
  <c r="Y24" i="18" s="1"/>
  <c r="Z22" i="18"/>
  <c r="Z23" i="18" l="1"/>
  <c r="Z24" i="18" s="1"/>
  <c r="AA22" i="18"/>
  <c r="AA23" i="18" l="1"/>
  <c r="AA24" i="18" s="1"/>
  <c r="AB22" i="18"/>
  <c r="AC22" i="18" l="1"/>
  <c r="AB23" i="18"/>
  <c r="AB24" i="18" s="1"/>
  <c r="AD22" i="18" l="1"/>
  <c r="AC23" i="18"/>
  <c r="AC24" i="18" s="1"/>
  <c r="AD23" i="18" l="1"/>
  <c r="AD24" i="18" s="1"/>
  <c r="AE22" i="18"/>
  <c r="AF22" i="18" l="1"/>
  <c r="AF23" i="18" s="1"/>
  <c r="AF24" i="18" s="1"/>
  <c r="AE23" i="18"/>
  <c r="AE24"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tc={3BC264FC-1E7B-CB40-B9E0-453059F3F68C}</author>
    <author>tc={45CBB003-8D55-664E-8EA4-7FD5A268DC8B}</author>
    <author>tc={BAD6D219-246B-7A41-A0FB-F409A7AC5647}</author>
  </authors>
  <commentList>
    <comment ref="I3" authorId="0" shapeId="0" xr:uid="{3BC264FC-1E7B-CB40-B9E0-453059F3F68C}">
      <text>
        <t xml:space="preserve">[Threaded comment]
Your version of Excel allows you to read this threaded comment; however, any edits to it will get removed if the file is opened in a newer version of Excel. Learn more: https://go.microsoft.com/fwlink/?linkid=870924
Comment:
    May exclude branded subsidiaries - some companies have multiple LI accounts.
</t>
      </text>
    </comment>
    <comment ref="I9" authorId="1" shapeId="0" xr:uid="{45CBB003-8D55-664E-8EA4-7FD5A268DC8B}">
      <text>
        <t xml:space="preserve">[Threaded comment]
Your version of Excel allows you to read this threaded comment; however, any edits to it will get removed if the file is opened in a newer version of Excel. Learn more: https://go.microsoft.com/fwlink/?linkid=870924
Comment:
    They have 185,000 employees worldwide.
</t>
      </text>
    </comment>
    <comment ref="I14" authorId="2" shapeId="0" xr:uid="{BAD6D219-246B-7A41-A0FB-F409A7AC5647}">
      <text>
        <t>[Threaded comment]
Your version of Excel allows you to read this threaded comment; however, any edits to it will get removed if the file is opened in a newer version of Excel. Learn more: https://go.microsoft.com/fwlink/?linkid=870924
Comment:
    They have 1000 laptops - must have multiple brands.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0" authorId="0" shapeId="0" xr:uid="{3F3A8E2D-6101-6B43-9E5B-34CD21228697}">
      <text>
        <r>
          <rPr>
            <b/>
            <sz val="10"/>
            <color rgb="FF000000"/>
            <rFont val="Tahoma"/>
            <family val="2"/>
          </rPr>
          <t>Microsoft Office User:</t>
        </r>
        <r>
          <rPr>
            <sz val="10"/>
            <color rgb="FF000000"/>
            <rFont val="Tahoma"/>
            <family val="2"/>
          </rPr>
          <t xml:space="preserve">
</t>
        </r>
      </text>
    </comment>
    <comment ref="A62" authorId="0" shapeId="0" xr:uid="{FE35F516-EAEF-334E-9414-198F2E9A7C74}">
      <text>
        <r>
          <rPr>
            <b/>
            <sz val="10"/>
            <color rgb="FF000000"/>
            <rFont val="Tahoma"/>
            <family val="2"/>
          </rPr>
          <t>Microsoft Office User:</t>
        </r>
        <r>
          <rPr>
            <sz val="10"/>
            <color rgb="FF000000"/>
            <rFont val="Tahoma"/>
            <family val="2"/>
          </rPr>
          <t xml:space="preserve">
</t>
        </r>
        <r>
          <rPr>
            <sz val="10"/>
            <color rgb="FF000000"/>
            <rFont val="Tahoma"/>
            <family val="2"/>
          </rPr>
          <t xml:space="preserve">Moray and Nick will be in Amsterdam, pitching at the Go Digital event from 2-4 June.
</t>
        </r>
        <r>
          <rPr>
            <sz val="10"/>
            <color rgb="FF000000"/>
            <rFont val="Tahoma"/>
            <family val="2"/>
          </rPr>
          <t xml:space="preserve">Competing against other innovative startups, and the prize is XXXXX.
</t>
        </r>
        <r>
          <rPr>
            <sz val="10"/>
            <color rgb="FF000000"/>
            <rFont val="Tahoma"/>
            <family val="2"/>
          </rPr>
          <t xml:space="preserve">Wish them luck!
</t>
        </r>
        <r>
          <rPr>
            <sz val="10"/>
            <color rgb="FF000000"/>
            <rFont val="Tahoma"/>
            <family val="2"/>
          </rPr>
          <t xml:space="preserve">If you're gong to be at the event or in Amsterdam around that time - why not get in touch? </t>
        </r>
      </text>
    </comment>
  </commentList>
</comments>
</file>

<file path=xl/sharedStrings.xml><?xml version="1.0" encoding="utf-8"?>
<sst xmlns="http://schemas.openxmlformats.org/spreadsheetml/2006/main" count="8538" uniqueCount="4417">
  <si>
    <t>Customers</t>
  </si>
  <si>
    <t>Press Release?</t>
  </si>
  <si>
    <t>10 = Customer; 9 = positive trial or presentation; 8 = quite positive trial or presentation; 7 = promising prospect.</t>
  </si>
  <si>
    <t>Name</t>
  </si>
  <si>
    <t>Status</t>
  </si>
  <si>
    <t>Priority</t>
  </si>
  <si>
    <t>Product Interest</t>
  </si>
  <si>
    <t>All Energy?</t>
  </si>
  <si>
    <t>Lead Source</t>
  </si>
  <si>
    <t>Role</t>
  </si>
  <si>
    <t>Company</t>
  </si>
  <si>
    <t>Employees on LinkedIn</t>
  </si>
  <si>
    <t>Account Manager</t>
  </si>
  <si>
    <t>Country</t>
  </si>
  <si>
    <t>Industry</t>
  </si>
  <si>
    <t>Response</t>
  </si>
  <si>
    <t>Have they logged in?</t>
  </si>
  <si>
    <t>Last Login Date</t>
  </si>
  <si>
    <t>reminded to log in?</t>
  </si>
  <si>
    <t>Last contact date</t>
  </si>
  <si>
    <t>Next contact date</t>
  </si>
  <si>
    <t>Release sent?</t>
  </si>
  <si>
    <t>Likelihood</t>
  </si>
  <si>
    <t>Opportunity / Proposal Value</t>
  </si>
  <si>
    <t>Value</t>
  </si>
  <si>
    <t>Comment / next action</t>
  </si>
  <si>
    <t>A - Customer</t>
  </si>
  <si>
    <t>Scott Bunker, Innes, Angela</t>
  </si>
  <si>
    <t>mAint</t>
  </si>
  <si>
    <t>Moray / Oceanology</t>
  </si>
  <si>
    <t>Regional Director</t>
  </si>
  <si>
    <t>Ashtead</t>
  </si>
  <si>
    <t>Moray</t>
  </si>
  <si>
    <t>UK</t>
  </si>
  <si>
    <t>Subsea</t>
  </si>
  <si>
    <t>loved it.</t>
  </si>
  <si>
    <t>yes</t>
  </si>
  <si>
    <t>yes.</t>
  </si>
  <si>
    <t>19 mar - after showing Brett the syatem at Oceanology, he and his boss called desperate to meet.  Nick and I are seing them on Friday 22 March in Aberdeen.  22 March - met with Phil and Brett at Ashtead.  They lvoed it.  Focus is 1/ team instance for manuals, internal Standards of Work (work instructions), 2/ Quiz &amp; Learn 3/ Internal Manuals / IMS.  Putting an NDA in place then we can give them a proposal.  01 April Customer!  8 july - draft a press release for them.  22 Aug - have sent Scott an update. requesting restart of the fortnightly calls, asking about the Exec demo.  07 Sept - Scott wasnt keen to do a joint paper at Subsea Expo.  11 Sept - we have offered an onsite workshop with the broader Ashtead team, to support the roll-out of mAint.  Ping him 15 Sept to set up.    28 Oct - ask them for a meeting mid Nov to look at new functions.  14 Nov - Nick will set up a meeting with Scott to demo new.  14 Nov - caught up with Scott.  He's keen to see folder structures in the mAint teams.  Nick &amp; Aashima to report back.  05 Dec - we were supposed to have a roll-out meeting with Scott earlier this week, but he delayed it - chaos due to the integration of J2 &amp; Seatronics.  16 Jan - met with Scott - hes keen to roll it out, we've suggested a meeting in a week, a drop in session for people wanting to know more &amp; to get feedback.  He's also going to find out whether the management team are interested in a demo (Phil menitoned they would be).  27 Jan - MM to follow up with Scott.  29 Jan - i let him know we'd be in ABerdeen on the 18th Feb.  10 Feb - let Brett know i will be in aberdeen.  10 March - Nick has emailed Scott.  13 Mar - he's agreed to restart the regular catch ups.  26 Mar - in Aberdeen on Monday I deo'd to Rob Anderson, Matthew (Wrkshop Manager) and Ryan (performance Manager) - they loved it.  They have a colleagye called Innes Murray who has damaged his ACL; they anticipate giving him mAint as a project to crack on with.  Tpday i got feedback from them that clear chat wast working, nor was excel - i've asked the dev team to look at it. NT 2 June: EMailed Scott B checking in.  09 June - the next meeting is tomorrow, 10am.  Here are the action / discussion areas captured, for update and review next week:
mAint Inspect:  We will give you access to enable you to evaluate its usefulness.  Currently the output is a PDF report, but this could just as easily be data, and we could potentially integrate it within your “Next Week” rental system.
Action 1:  ScotAi to provide access to mAint Inspect (Scott &amp; Innes)
Action 2:  Scott to provide a template Ashtead Condition Report.
Action 3:  Scott &amp; Innes to evaluate how mAint Inspect would add value to asset management in Ashtead, and what level of integration would be desirable
mAint Quiz:  Ashtead has a new L&amp;D Manager (Angela).
Action 1:  Scott to set up a demo for Angela; Moray to host.
Action 2:  Innes to confirm requirement for Quiz to be able to generate assessments drawn from multiple documents, including drawings.
Action 3:  Following meeting with Angela, evaluate what integration between mAint Quiz and (unknown) L&amp;D system would be useful.
General:
It would be useful to be able to pull in more than 10 documents at a time.  Sharepoint interface with mAint Semantic Search discussed – update to be advised.
As mentioned, we will do as much as we can under our own R&amp;D budget, but if Ashtead would like anything bespoke (eg software interfaces) or anything accelerated, we might have to ask for a contribution. 
ScotAi has offered to host additional demo’s for the team, to answer any questions they may have, and to get feedback on the system.  25 June - Scott has put us in touch with ANgela, have emailed her to setup a demo.  15 Sept - chased Angela again.</t>
  </si>
  <si>
    <t>AB - PO Anticipated</t>
  </si>
  <si>
    <t>Chris Palmer, Fiona Duiguid</t>
  </si>
  <si>
    <t>mAint, mAint Inspect</t>
  </si>
  <si>
    <t>Yes</t>
  </si>
  <si>
    <t>All-Energy</t>
  </si>
  <si>
    <t>CIO (Fiona)</t>
  </si>
  <si>
    <t>Aurora</t>
  </si>
  <si>
    <t>Wind</t>
  </si>
  <si>
    <t xml:space="preserve">15 May - Chris is Wind Services Director, Fiona is CIO, both are lovely and enthusiastic.  They would be our ideal clients.  19 May - they’ve been in touch to setup a meeting next week.  28 May - Nick and I visited Aurora in Aberdeen yesterday, and met with Fiona, Chris, Chris Dobson and Lorena.  THey loved it and we've given them a proposal..   theyre interested in bespoke software too adn might introduce us to Octopus also.   04 June - meeting with Doug went well.  theyre interested in exclusivity for AurAi Wind.  Both Doug and Ray Semple seemed to really like it.  Specifically interested in developing AurAi.  09 Jun - Moray tried calling Fiona - no response.  13 June - i dropped Fiona a quick email.  18 June - i whatsapp messaged Fiona.  Just spoke to Fiona at Aurora, we are to give them a proposal for mAInt, development of AurAi.  I’ve told her that a period of exclusivity is fine as long as there is a commission structure which she is happy with.  I’ve told her we will give them a stack of credits for Kensit and the Governance policy too.  She is going to setup another 2 demos one for Encomara, one for Katie Jordan (commercial director).  19 June - submitted.  25 Jan - ive asked for next steps.  16 Sept - Aurora - getting all stakeholders involved, series of 15 minute meetings to build awareness in team on new tool - how to use mAint, how to use Kensit.  All very positive.  08 Dec - call with Chris - he's presenting digital twins and mAint to Nordex on Friday.  we will support.  He is also going to give us the documents we need.  Call with fiona - </t>
  </si>
  <si>
    <t>End.</t>
  </si>
  <si>
    <t>Dan Hayes, Richard McKimmie</t>
  </si>
  <si>
    <t>mAint, Kensit</t>
  </si>
  <si>
    <t>CTO</t>
  </si>
  <si>
    <t>AME Offshore</t>
  </si>
  <si>
    <t>Australia</t>
  </si>
  <si>
    <t>Oil and gas</t>
  </si>
  <si>
    <t>11 Feb - Nick and I presented to them - they seemed to like both mAInt and Kensit - have offered them a free trial.  03 Mar - feedback requested.  10 Mar - next meeting is tomorrow, they fancy Kensit.  12 Mar - they like the idea of taking a 3-month, 3,000 credit trial of Kensit just to see if they'll use it.    Dan would be interested in augmented reality capability where tey can train people when there's no equipment available - ive mentioned Builder with mAint integration.  Ive told him we'll give him a trial of mAint when the DRA is working.  He likes the idea of the dashboard (and knows it wont be immediate)- identify how people feel about safety and whether they're just gaming the system.  improve their safety culture behavioural score.  Dan thinks his sister might be interested - she is 2IC at NATS, the air traffic control people in the UK.  27 Mar - Dan wants a 3 month paid trial of Kensit.  i've said we will throw in 3 months of mAint and 3 months of the inspection tool to say thanks for the intro to Melanie.  14 April - i've given Dan 3,000 credits and asked for an onboarding session.  21 May - setting up another onboarding for them.  03 June - sent him a template.  09 June - Nick chased to check its going OK.  21 Jul - too early for them to consider adopting mAint.    16 Sept - Nick chasing Richard to setup a call this week.  20 November - i've offered a meeting for inspect, safety.  1 Dec - emailed Dan and Richard</t>
  </si>
  <si>
    <t>Kyle Davidson &amp; Derek Fergusson</t>
  </si>
  <si>
    <t>Instructor Mode, kensit</t>
  </si>
  <si>
    <t>Steve</t>
  </si>
  <si>
    <t>PM</t>
  </si>
  <si>
    <t>Akva</t>
  </si>
  <si>
    <t>Steve Ham</t>
  </si>
  <si>
    <t>Aquaculture</t>
  </si>
  <si>
    <t>We are interested in the technology, I’ve asked to team to come up with 2 tests one for development of a training manual and another for a translation of an existing manual. I will send on, when I have received them.</t>
  </si>
  <si>
    <t>no</t>
  </si>
  <si>
    <t xml:space="preserve">Don has had permission to go ahead with the SK.  He is looking for 12-14 portals.  10 June - Kyle called, with some queries about the proposal / portals.  They're going ahead with the SK, not sure about the additional portals though.  14 June - I've asked Steve to follow up on this.  09 August - Akva havent paid their invoice.  Don has declined to give us a testimonial because he's heard mixed reports (I believe this is about Quiz - seems unfair as it's in Beta...).  11 Sept - update Akva on all the new features, set up a demo for thier team.  07 Oct - we had a session with Kyle and Derek earlier - mAint's not working well with thier spares catalogue; they've provided it and we'll use it to improve.  They're keen to see the Instructor Mode.  Nick and Kyle are setting up a regular meeting.  28 Oct - next step is to roll out Insteuctor mode for them.  15 Nov - "the very basic user experience on mobile has too many problems with it constantly crashing and zoom should automatically be to page width".  this needs fixed before they can roll out more.  05 Dec - had a call with Kyle, he seemed pleased that we'd addressed the mobile performance, and liked that we'd made the QR customisable.  20 Jan - Derek Ferguson - meeting Thursday morning.  23 Jan - Derek outlined several challenges with the software, which have been passed to Support; Nick and Aashima dealing with it.  We need to give them an update tomorrow.  27 Feb - Nick to speak to Aashima and report back to Derek.  30 Jan - focus is to be on seperate standard docs which the techs will have to use working well in portals, QR on IOS and Android.  the bigest 'FishTalk' document is for later.  06 Feb and 20 Feb - no catchup with them today - they were busy,  13 March - no catchups recently, Kyle's off ill.  07 Apr - Derek (via Steve H):  Upshot is that it will be next week before he is back again now and have any time to move on this.
The system is completely dependant on Kyles department so unfortunately there is nothing I can do myself until he gets back on it.
From my stand point, all the issues that we had found while testing have been resolved and I don’t see any reason why Kyle is not now able to roll it out. I think it just needs him to have the time to focus on it again.  09 Jun - Kyles provided some inspection reports for our inspiration.  </t>
  </si>
  <si>
    <t>Alan Ritchie</t>
  </si>
  <si>
    <t>mAint, Agatha</t>
  </si>
  <si>
    <t>President</t>
  </si>
  <si>
    <t>Frisch Valve</t>
  </si>
  <si>
    <t>Canada</t>
  </si>
  <si>
    <t>Valve</t>
  </si>
  <si>
    <t>positive</t>
  </si>
  <si>
    <t>Customer!  7 May - call with Alan - he needs to produce a tag with QR code for every valve in advance of having the paperwork together.    Valves last 5-10 years.  One QR code per valve, to access all info.  They're shipping about one valve per week.  Ideally this would be rolled out this week.  ALSO - Alan wants to be able to interrogate lots of information from 30 YO valves all at the same time - is prepared to give us access to information, it needs to be kept confidential.   It's all poorly structured.  English-only is fine.  OK to pay more for it - will discuss quantum with Nick.  It’s a lot of money, and to go ahead he needs to check that it meets his requirements:
- search entire dataset for valves supplied over 30 years to plants which may have changed owner many times and the route to market may also have changed.  Consistent would be the delivery address / town.  It would need to search MS Office, Email, PDF, graphics files.  There are millions of emails.
- results need to be in an easily digestible, actionable format which easily links to the evidence.  User friendly.  22 Aug - have pinged Alan details on the pressrelease and await further approval / action at his end.
If it does all the above he’ll go ahead.  08 July - next step is to chase Alan.  We're doing multimodal,  multi document and then we'll be in a position to do Agatha.  Ask about the press release too.  28 Oct - i've messaged Alan - he's promised (again) to take care of his actions.  09 June -  proposal submitted.  10 Sept Nick had a call with Heritage - all set up, seems to be working.  16 Sept - messaged Alan, nothing back.  23 Sept - second (final) invoice has been submitted.</t>
  </si>
  <si>
    <t>Drafted and Issued.</t>
  </si>
  <si>
    <t>Alex Smith</t>
  </si>
  <si>
    <t>mAint Secure</t>
  </si>
  <si>
    <t>Nick</t>
  </si>
  <si>
    <t>CTO - training transformation services</t>
  </si>
  <si>
    <t>Raytheon</t>
  </si>
  <si>
    <t>Defence</t>
  </si>
  <si>
    <t>Liked it.</t>
  </si>
  <si>
    <t>NA</t>
  </si>
  <si>
    <t>They have reviewed everything else - couldn’t find an alternative to mAint.  Work starts 30 Sept for 7 months - 30-40 users running locally.  We need to create mAint secure and mAint secure cloud within 50 days (of 8 August 2024).  Dev team have begun.  11 Sept - Nick to follow up with Alex to set up a demo. Follow up with technical and commercial teams for all open actions..  21 Oct - ask Alex if we need a proposal so they can provide a PO.   11 nov - they have a proposal, and next step is to complete onboarding.  18 Nov - onboarding is comolete, chasing PO.  25 Nov - chased.  16 Dec - thanks Alex; ask for testimonial.  20 Jan -0 new image with prompt fixes required, and advanced search.  27 Jan - mAint Secure is hallucinating - Akash working on it - action required.  Nick to email Matteo.  11 Feb - Nick was asked to confirm whats used in the package - he has responded.  10 Mar - maint secure problem has to be fixed (Nvidia issue).  24 Mar - Nick has chased.  07 May - there's a meeting with them 12 May to discuss DSET.  06 Jun - Alex is interested in using mAint for the GB Army.  No details.  16 Sept - GB Army decided to dev something themselves.  We've given them a proposal for £165k to build training materials.  Initial response is positive (they told the RN at DSEI that hey would be going ahead) - its going through legal adn IP hurdles at RTX.  20 Nov - demo with RN today.  Need F2F meeting early Dec to discuss 2026 planning.  Interested in on-site consultancy too / more closely embedded support.</t>
  </si>
  <si>
    <t>Robert Wojcik / Ian / TJ</t>
  </si>
  <si>
    <t>BSW</t>
  </si>
  <si>
    <t>Timber</t>
  </si>
  <si>
    <t>17 Feb.- Nick to comment on interoperability of mAInt with BSWs management system- but I think Robert a BSW was going to make the appropriate introductions.  Their maintenance and operations managers attended.  They loved training - have no system for checking competence - LMS opportunity.  They are using a system called FiiX (Texas Instruments) - their eng manager is super diligent - dumb file piece - want to do competnecy spot checks - they will set up a call with Fiix to discuss API.  27 Feb - we met with Svetlana from Fiix today, along with the BSW guys.  Fiix has their own (undefined) AI capability.  They can take API's - and have provided a guide to that.  BSW really keen on mAint especially for undertaking Dynamic Risk Assessment (take a photo, mAint populates a table in a RA, the guy then fills in the scores plus any other risks.  Note that fire is theri bigest risk (insurance).  they use FLIR cameras to take pics turing and after hot work. .  There will be a follow up call between the 3 conmpanies, Nick is to set the agenda.  Even if there's no API, they like the risk + quiz capability.  We are going  to offer them to develop the risk module at no additional cost if they take the starter kit.  we'll swallow the API development cost too.  07 Mar - proposal submitted.  10 Mar - Robert has received the proposal and will respond Thursday 13th.  18 Mar - we havent heard back from BSW - i've asked Steve to follow up.  20 Mar 0 steve advises " I spoke to Robert at BSW yesterday. He needs to get together with Nick to agree the PO as it’s Nick’s area of responsibility – then he’ll get back to me. I’ll give it another couple of days and chase."  23 (ish) March - Andy Rogers called - they have a German guy working between Germany and Corpach.  He's pivotal.  if he likes it we could get it into Germany.  Andy wants us to demo the system to him when he's back in Scotland in early May.  02 April - demo'd to Andy &amp; Robert plus Matthias Foulks and Oli Stephen.  Matthias worried about dumbing down people.  German translation didnt work.  20 licences would be enough for the UK.  they have 71 licences for Fiix, 150 people use it.  07 Apr - i've asked Steve to follow up.  23 Apr - i called Andy at BSW - he expects to hear back from Matthias w/c 5th May.  06 May - chased.  19 May - ive WhatsApped Andy to see if we can get things moving again.  Told him about mAint Inspect.  Andy has been off ill - chest infection - hopefully he will be back in a couple of weeks.  I have also emailed Robert W.  09 Jun - Nick Chased.  25 June - Moray chased.  Andy called back - they want to put a call in the calendar next week, to discuss how to get the best out of mAint in the first 12 months, for it to not become shelfware.  their KPIs are mostly about number of logs going through, we need to look at what mAInt brings - clear thoughts and objectives - what's been done.  THings like - finding answers in manuals - how many times was it used, by whom, which part, etc.  06 August - PO received.  14 Aug - trying to setup a Thursday call, have suggested 1200.  16 Sept - Nick emailed yesterday to chase.  24 Nov - spoke with Ian adn TJ today - they really like the safety obs part, and are interested in having an LMS.  Ian will provide info on their CMMS - would be nice to have a link to that.  FW is used as the guinea-pig site for tech (Fiix was first used there) before rolling it out to the other locations.  They'd be interested in doing the same with our tech.</t>
  </si>
  <si>
    <t>Cameron Sutherland, Gavin Catto</t>
  </si>
  <si>
    <t>H59</t>
  </si>
  <si>
    <t>Director</t>
  </si>
  <si>
    <t>GreenCat</t>
  </si>
  <si>
    <t>UK, Canada</t>
  </si>
  <si>
    <t>Yes.</t>
  </si>
  <si>
    <t>8 Nov - went for a pint with Gav, he mentioned that he has someone looking at AI in his business, and a team of 4 from Oxford to implement.  They have 160 staff.  I've told him our guys would still run rings, but he's skeptical.  11 Nov - Gavin gave me Cameron Sutherlands mobile number - he's their technical director.  13 Nov - i've texted Cameron.  15 Nov - I spoke with Cameron yesterday.  They're investing in ML to change how Environmental Impact Report are created based on data.  they've been using a consultancy (which they won't be renewing), and they have hired a guy (Alex?) to lead their AI stuff.  We are meeting with them on the 27th November, at their premesis in Roslin.  05 Dec - we presented to Cameron and Nick today, at GC in Roslin.  They especially liked mAint, quite liked Kensit (but less so).  They liked the tendering concept, with a Kensit input to ensure that their tender is referencing all the latest standards and acts of parliament.  We've told them that a SK is £7k. and they would get Kensit for free for a period.  On discussing AurAi, they can see benefits for the HV market in.  They liked the concept of having mAint inspect, keeping human in the loop.  Also interested in an asset management system.  13 Dec - ive pinged Cameron a prompt...  18 Dec - "We are minded to proceed with mAint in principle but Nick would like to have a chat with you / other Nick about your wider support offering.  Is there a time when you guys might be available for a Teams call pre-Christmas.  Both of us are working up to Christmas Eve."
 20 Dec - it's a yes!  we're giving them 15 licences and 2x portals for the Starter Kit.  OK to raise the invoice in December,   They want the Asset Management and Inspect modules.  Next meeting is in January to kick off and define.  20 Jan - next steps, send plan for teams, inspection module, next steps form the other nick's email.  Set up recurring meeting with them.  27 Jan - Nick to chase them for response to email.  04 feb - follow up meting at GreenCat.  05 feb There were lots of takeaways as highlighted by the meeting minutes, but for now I want to home in on one which could help us with a number of our related challenges. 
Basically what we want to achieve is a system which:
Searches through our document store (2TB condensed 40TB full) to extract most relevant (parts of) documents.
Processes this information so that it can be queried via chat (and potentially worked on).
You mentioned you had a service called mAint Secure which you have deployed for other customer(s). This might be an interesting solution for us to consider, but if possible it would be nice to know some more details including some idea on pricing. Furthermore, if you can turn this around by tomorrow lunchtime I can make it a point for disucssion at out AI Working group meeting which won't meet again until April. I appreciate the last minute nature of this request, but I thought it better to inform you and give you the chance to turn it around, just in case it's possible. NOTE - our response - £1k/year, 25 users minimum.  We have not priced them the dev cost.  07 Feb - Nick Lade emailed - theyre interested in mAint secure for their hydrogen division - sounds promising.  Richard Gardner - IT Manager Green Cat Renewables (experience with SCADA systems and data flows, interested in on-prem solution)
•⁠  ⁠Types of data currently held. 
•⁠  ⁠Much more secure, massive datasets (40 TB or more - mixed data in flat files)
•⁠  ⁠CSV, text files, data with numbers, pdf, word documents, textual based information
•⁠  ⁠mAintSecure - upload files by folder URL. 10 Mar - they're waiting on Inspect module.  12 Mar - they're interested in mAint Secure still - have offered a free trial.  07 April - payment was delayed because they were clicking on the Revolut link and it was anticipating payment from their personal accounts.  I've sent them the Revolut details.  22 April - Nick to propose bi-weekly in person catch up.    06 May - our lst catch up with their Nick at GC was nice - mAint secure is too expensive.  I also just spoke to Cameron at Green Cat - he’s OK for us to draft a LinkedIN release.  On Day 1 at All Energy we’ll take some pics at his stand, and then issue it together.  The Inspect module is the big thing for them - they see mAint as losing some of its value because Chat GPT is getting so good (i didn’t go into the shareability, scaleability, contactability - he was pushed for time).    In terms of mAint Secure, they’ll only do more AI stuff once Gavin is convinced that they’re getting value.  it’s not our fault, but they were stung with the last bunch they were dealing with.  I told Cameron that we’d be in Green Cat every 2 weeks to hoover up the feedback and stay accountable - he liked that.   15 May - Gavin told us that they've bought a WTG manufacturer (FC Competitor).  Gavin is going to setup a service team for the OEM and wants to speak to us.  Full Circle was originally the maintenance team for that OEM. but they were sold off a few years ago.  Gavin bought the OEM  out of administration.  05 June - we've applied for the Green Energy Awards with them.    16 Sept - all seems positive, theyre happy with how Inspect has saved them 70% of inspection time.  13 Oct - the AI company which Green Cat previously worked with was called Critical Future.</t>
  </si>
  <si>
    <t>Magnus Wang / Kim gilfillan</t>
  </si>
  <si>
    <t>mAint Integration</t>
  </si>
  <si>
    <t>Moray / referral from Chris McKenzie</t>
  </si>
  <si>
    <t>Divisional Managing Director</t>
  </si>
  <si>
    <t>Eastern Western Motor Group EWMG</t>
  </si>
  <si>
    <t>Automotive</t>
  </si>
  <si>
    <t>24 April - "It was very useful and although not what I was looking for right now, I can see it's application in our business.  Good to see RR enjoying your product.  I will be in touch when we are ready.</t>
  </si>
  <si>
    <t>Magnus wants a complete AI front end for his business.  He has admitted that mAInt would add value to his business, but he dosnt want multiple vendors.  There's potentially applications for the dissemination of their HR and Finance documents, but they would have to be low cost.  Idea:  Give them a quote for 1x Starter pack (5k), one additional domain (3k), 50% discount, total 4k.  Note - they also want to be able to use mAint to look at competitors submissions via companies house - but it wont do that until image is there.  7 Jan - Magnus put Kim in touch with us - theyre interested in a 'chatbot' type solution to HR.  02 April - we demo'd to Kim et al in Jan - they hated the fact that their staff could use mAint to educate themselves.  they want to subjugate.  Didnt listen when we told them we could restrict the chat type, would need 7 days to get it done.  they told us they wouldnt be going ahead.  Today they asked if we could integrate with their page tiger system.  Maybe its not dead.  22 Apr - proposal submitted - £5200 (incl PR discount), £1980/year from year 2.  25 April - we held another meeting with Kim, Bekka and their IT manager.  we need to provide 2x platforms (mgr, ee) and will revise ppsl accordingly following which they will ask for approval.  AI in HR is in their KPI's.  we have submitted rev2.  28 Apr - Kim advises that "I am working with Ken on a business proposal and will revert back in due course."  06 June - ive thanked Magnus.  Next step - Moray to provide the press release for consideration.  12 June - have submitted the press release for comment &amp; review.  Met with them - they love Axel so far.  15 Sept - not happy with initial testing - 1 - Hallucinations, 2 - there should be no references to employees, staff, personnel (they’re either colleagues or managers), 3 - style is too wooden, 4- links in the page tiger doc arent working (network comms issue?), 5 - spelling mistakes, 6 - it’s either not reproducing the whole content or its making stuff up.  7 - daily updates until resolved.  01 Oct - Kim still not happy with performance.  27 November EWMG meeting was fine / brief - they’re happy with Axel, the only sticking point is their internal marketing for it.  It should be launched in the next week or so.  The Group MD “hated” the idea of the app though - so I’m guessing it wont be going ahead!</t>
  </si>
  <si>
    <t>Olivia, Karen Grant</t>
  </si>
  <si>
    <t>H - Schedule Presentation</t>
  </si>
  <si>
    <t>Digital Strategy Lead</t>
  </si>
  <si>
    <t>Aspect</t>
  </si>
  <si>
    <t>I absolutely see the opportunity here and love what you’ve built!  Hopefully not an odd question, but have you explored white labelling or licensing this at all?   in short we deliver insights and briefings to and for clients so I thinking, as I did before, there might be a bigger conversation here.  Let me know if you'd be keen to explore further? 14 Jan - we demod to Aaron, he loves it, the system is way more efficient than what they do just now - he's going to setup a newsletter.  29 Jan - ive let aaron know that we'll be in aberdeen on the 18th.  10 Feb - have suggested 1530 on the 18th.  28 feb - have chased a date again.  10 Mar - chased.  14 Mar - he's put in AFE.   24 Mar - chased.  07 april - chased.  14 July - Nick has chased.  18 Sept - Aspect has been using Kensit for the last couple of months on a trial.  they really like it, but there's opportunity to improve it too.  It's saving them 3-4 hours per week per client.  We've given them a proposal (email only) of £60 per user per month &amp; await response.  24 Sept - Called Olivia - she's going to show a colleague the system, they might want to take 3 licences instead of 2.</t>
  </si>
  <si>
    <t>Richard Wray, Steven Beaton</t>
  </si>
  <si>
    <t>Group IT Mgr</t>
  </si>
  <si>
    <t>Centurion Group</t>
  </si>
  <si>
    <t>Energy</t>
  </si>
  <si>
    <t>Loved it.</t>
  </si>
  <si>
    <t>presented to Gary and Scott, provided SK proposal, follow up.  14 Oct - followed up.  21 Oct - I called Gary, but he's on holiday - try next week.  05 Nov - tried him again, no response, sent an email.  05 Nov - I think overall its interesting and its something Centurion need to implement in baby steps, this to me is the correct way to do it.  8 Nov - spoke with Jip and Richard from their global HSEQ and IT teams - they loved it and i;ve set them up with an account.  03 Dec - feedback chased.  03 Dec - looks like they want to go ahead!  11 Dec - i tried calling, no answer so sent an email.  "Capex was approved yesterday,   Will send over some forms to get you onboarded as a vendor when get into the office. "
However I spoke to our IT guy, he was tasked with how AI will be used in the business but has been told to put this on hold as we are moving into a capital raise next year.  06 Nov - the Cenrturion IT guy Richard has been in touch.   will set up a demo.  08 Nov - i demo'd to Richard and their global HSEQ manager Jip; they loved it, and i've set them up with accounts.   14 November - Richard gave us a 2,000 page which he was struggling to load.  the team looked at it, it'll take weeks to fix (12 ish).  I've told Richard that we're prioritising changes requested by our subscribers, and asked him if mAint and Kensit are products which would add value to Centurion.  "No problem,   I thought with it being a mixture of scans / pdfs / photos / tech drawings it might be a tricky one.
Yes think it’s something that we can use,  I’m in the process of giving quick overviews to some of the other MD’s for the region to get buy in ."  16 Dec - PO received.  19 Dec - we held the kickoff this morning.  Richard loved mAint -  he showed it to their VP for approval, the response was "this is a no brainer".  Richard also stated "We love it. The only thing limiting our use was my imagination and all the uses we could get out of it".  Richard is taking Xmas off and then travelling to Centurion in Dubai and Australia in January.  He will be demoing and selling mAint.  He is going to need a price for additional seats.  He would lilke to roll it out to the regions.  They have perhaps 1200 users who would like the system.  We have gone hard on the fact that we're not Microsoft, he's dealing with the owners, tell us what needs to change, etc.  We'll set up further onboarding in January as required by them.  These guys are a real expansion target for us.    I've told them they will have Kensit for free for 6 months.  20 Jan - we have onboarded them last week; recurring meeting set for 9am Thursdays.  Next step: check in, see how they're getting on.  23 Jan - Richard cancelled todays call - we need to reschedule it.  30 Jan - call with Richard was positive, he's shown a load of the leadership team the system during his middle east - asia - australia trip, they liked it.  Now he needs to get the seats rolled out.  On Monday we'll show him the new system for that.  We've offered some early morning onboarding drop-in sessions for users.  He's not mentioned it to the USA user base yet, but we'll need to do some there too.  06 feb - positive meeting - theyre getting ready to roll it out - they're happy with the accounts being rationalised into one - and we've offered to host 'drop-in' sessions to support user onboarding - but they seem happy to do it themselves.    11 Feb - Nick to check in with them.  27 Feb - we held a meeting last week with their broader team.  it was well received.  we met Steven today - he was positive but not much ro report, the system has been fine.  13 Mar - met Steven - all positive, people are talking about it in the office, he's getting people asking him for it.  He's expecting a good gathering of people this afternoon for the demo.  i've asked him for a comment.  10 Apr - weekly call with Steven adn Neil Harper (Asset Manager) - all good - they;re looking to get QR codes printed and put on containers headed for Angola  (containerised compressors).  Mentioned a case study - they seemed happy with the idea.  Interested in the inspection module - useful when equipment go's out / in.  19 May - told them that portal folders is done.    09 June - we need to get an onboarding workshop with them.  c.12 Sept - Nick emailed them - actions from our meeting, assigned to Steven - RObert &amp; Katy too get setup for assessments, Nick to meet QC team end Sept to find out how QR's can be used.  Katie prefers Co-Pilot (her partner is a Co-Pilot integration guy).  02 Oct - met steven - was OK - no real progress on any front.  Katie hates it (it’s not Co-Pilot). I pointed out that her partner is a co-pilot developer, and that her statement that co-pilot is faster than mAint was ridiculous - even if it is, it’s 1-2 seconds different / makes no difference and is necessary because mAint is checking its answers for accuracy before delivering them, and accuracy is more valuable than speed.  Robert is being influenced by Katie.  No response from the QC team or the Director who joined the demo - he is relying on feedback from everyone else.  I offered to come back up in 2 weeks for another demo but it’s difficult for them to arrange, herding cats.  Instead we’ve agreed a Teams demo once the Multi-Doc has been launched.  I pointed out that we’re not doing this to sell anything - we just want them to get value out of their subscription.  I’ve also suggested mAint Secure.</t>
  </si>
  <si>
    <t>Edward (Edd) Moller</t>
  </si>
  <si>
    <t>EPI Group</t>
  </si>
  <si>
    <t>10 Feb - Edd wants a demo of mAint for his new company.  14 Feb- Nick demo'd.  Andy Smart - CEO EPI. 12 June - gave them a new p[roposal, for 20 people.  20 Aug - we've been issued a PO for 01 Sept (£5800).  We had a call with Edd and Andy this morning; Andy wasn't a happy camper.  1.  They dont want mAint until it can have a chat with their whole IMS folder in sharepoint.  they dont want to be uploading info manually to mAint.  THey dont want to replace their HR system, BobHR, and they dont want an API plugin for it.  2.  They want to be able to use Kensit to find tenders in the offshore wind sector.  3.  they want the proposal generator module we mentioned. 
•⁠  ⁠Proposal Building
•⁠  ⁠Have complex and in-depth IMS system in the organisation (how can mAint integrate)
Ed Moller - Commercial Director
Aimee - IMS In charge (lots of documents in SharePoint)
•⁠  ⁠Advanced search
•⁠  ⁠SharePoint Integration 
•⁠  ⁠Azure AD
30 users
Thousands of files
No interest in portals... £7800 / year
Proposal module - consistent, answers all questions
More interested in the advanced search to go through the IMS
Next Step:  Set up a demo test Enterprise account for EPI Group (5 people) (Nick). Quick Onboarding (Both).  Get NDA sorted (MM).  03 Mar - Edd asked for another code to get set up, Nick has provided.  11 Mar - did another demo, seemed very interested and impressed, especially Andy Smart.  Likes the DRA and the concept of the proposals tool.  21 March - Nick chasing Edd.  31 Mar - Moray chased Edd.  11 Apr - chased Edd - he's out next week, needs to get an update from the team dealing with the IMS.  is interested in tendering .  Next meeting is 24th.  24 Apr - Edd wants to be able to chat with a whole database at once (how do i raise a PO... it asks all IMS docs).  We've told him that the tech doesnt yet exist, but if they come onboard we will develop it for them at no additional cost.  26 May - We are still very keen to get hold of mAint. As mentioned on the call, we do not see the benefit until the folder chat is up and running for our IMS requirements, but as long as you can give us a date when it will be completed, we’re happy to start a subscription that has an escape should the folder chat fail to be created as agreed.
Likewise I’m keen to work on the proposal generation tool. And the tender hunting tool if you have got anywhere with that."  26 may - proposal submitted.  09 June - we had a call with them, revised and resumbitted the proposal.  24 June - ive chased the post-dated PO.  25 June - "Sorry to be a pain, but we need to delay the PO to September due to awkward clients causing unexpected stress on cash flow over the next couple of months."  16 Sept - Nick messaged them yesterday to help get everything setup.  Note that they need tenderfinder.  Moray to draft a press release.</t>
  </si>
  <si>
    <t>James Price, Ross Wilson</t>
  </si>
  <si>
    <t>Technical Manager Maintenance Solutions</t>
  </si>
  <si>
    <t>EnerMech</t>
  </si>
  <si>
    <t>Kazakhstan</t>
  </si>
  <si>
    <t>Loves it.</t>
  </si>
  <si>
    <t>James advised that they are going ahead - we need to arrange a kickoff.  Before that he will have commerial &amp; IT contact us.  23 April - "Digitalization has came up, and we have an opportunity to present this (in some form) to our new CEO.  Perhaps I can share some initial brainstorming with you to learn if it’s something you think you can support with? I’ve stated bullet pointing objectives - what we want to achieve And enabling objectives - what we need to do in order to achieve the objective". 25 April - James wants to gain momentum and hold a bi-weekly meeting .  Chuck (their CEO) has given them the pbjective of improving their gross profit (GP) through workshop efficiencies.  Potential to transform the business group wide, all service lines.  James i working on objectives and enabling objectives.  EG - pricinq quotations - generate quotes based on valve type, siz, class.  valve tech with an ipad could do it using AI.  not just quote - generate a full written assessment, pick list, CNC drawings.  Go big for fficincies, all KPI's - MTBF, utilisation.  For stems, they need lathe, mill, slot, drill.  using the info they could decide to buy 1 machine to do it all, freeing up space.  he needs to provide a list of outcomes we need to achieve.  James has mentioned 4 guys for 2 years, $1 Million, then consultancy for the ability to adapt and grow the system.  Pulling information from Enermech. potential for Supply chain (using tghe same vendors in each region - also financ, operations, H&amp;S, BD).  Give customer real time access.   James will share the objectives, we will consider it and present it to the leadership team.  James mentioned a tag business - MSI -stickers for valves.  Put the QR codes on there, give them instant access to the valve info (MRB, Manual, etc).  Turn it off if they lose the contract.    OBJECTIVES:  make the business super efficient AND make it difficult for clients to leave.  16 May - we're meeting James.  11 July - we're meeting John Clark tomorrow, opportunity is to build mAInt capability into Enermech. systems (Synpro &amp; Enermech Live).  Challenge is to tell them why it's not Copilot.  We also need to update the presentation.   09 Aug - we met with John Clark and James Price (again).  john's been off because of holiday, during which he broke his wrist.   We need to get an NDA in place (i've provided ScotAi's details). They need to look at what the application is going to be.   Possibly Work Packs, tooling mob lists.  Use it to generate Work Packs?    integrate with / update EVAMP? (note that it is the product of Sword Group, who manage it for Enermech, but Enermech owns it).  22 Aug - James has introduced us to John Clark.  17 Oct - we participated in the 'pathway to profitability' once more - nothing came out of it. waste of time.  20 November - have emailed Colin and John as a chaser, and with feedback from ADNOC.  11 Dec - James has asked for a meeting (tomorrow at 11) - we need to close them.  16 Dec - James has approval,  i've sent a mAint proposal including rev 1 of our tendering tool and 6 months of Kensit.  17 Dec - they're going ahead, but payment will be deferred until February.   15 Jan - i've prompted James; he advises that they are going ahead.  we need to wait for the PO and then we'll take a look at what's needed to integrate it with their existing software.  We've not made any commitment about whether or not there will be an additional integration charge.  20 Jan - they need to give us a prequal quesionnaire (which i've chased). 27 Jan - chase the prequal.  28 Jan - submitted the prequal.  03 Mar - we have chased payment and asked for a kickoff.  James is interested in us speaking with a couple of his SVP's.  we have provided a presentation; they have provided a bilingual contract so we can be paid (25 Mar).  26 Mar - i dont think the money is in but i've chased James for that SVP demo.  07 Apr - followed up, suggested a meeting in Aberdeen.  He is OOO until 15th.  28 April - chased.  06 Aug - we met with Ross Wilson whio runs the Aberdeen valve business.  theyre running it off excel spreadsheets justnow.  Ross would love a system like CVS Manager.  We've pointed out that CVS Manager has only the basic Smart Manuals functionality built in - not the inspect, Assess modules.  Workshop productivity with asset tracking to begin with.  17 Sept - we've sent a demo to the exec team to show them some of the capability.  24 sept - i've messaged James (WhatsApp) to find out if there was any feedback on the demo we gave the exec team.  I've also messaged Ross.  James - demo was great but no feedback - will follow up next week.   17 Oct - chased. 24oct - call with james.  re: Zhalgas we should consider a PSV management module.  they are a mess.  it should manage overdue inspections, stage gate review, identify when they are passing and outage.  prepare RFQ's for spares.start with a likmited trial.  include QR codes. SPIL- spare parts interchangeability lists.  after trial ask him what budget they have.    for enremech - tender team - evidence and experience lusts.send video then short 30 min call.  29 Oct - Ross didnt turn up for the last scheduled call.  1 Dec - have emailed  Ross, James; James reckons Ciaran might be interested in Asset Management system.  I've given them access to the Safety Card system.  James has a client interested in QR codes.</t>
  </si>
  <si>
    <t>Doug Millington-Smith, Helen Blundell</t>
  </si>
  <si>
    <t>Nick / LI</t>
  </si>
  <si>
    <t>Operational Innovation Lead</t>
  </si>
  <si>
    <t>National Gas</t>
  </si>
  <si>
    <t>Gas</t>
  </si>
  <si>
    <t>27 Feb - Nick got hold of him on LI and has set up a demo.  04 Mar - we demo'd today and he REALLY liked mAint.  He is responsible for automation, innovation on existing network, robotics, emissions, digital.  He can see loads of applications for mAint.  interested in the defgects classification and dynamic risk assessment capability.  It will add significantly more than £1 per user per day in efficiency.  Their IT will ne interested in security accreditation (27001).  Agrees that its low cost low risk big potential.  Starter Kit is a reasonable price - we dont need to offer a free trial.  Sharepoint is basically dropbox.  wants to arrange another call for the SME's and IT.  He was pushing for an April 2026 start, but he reckons it might be possible to get it into this year given the low cost.  Next Step - provide presentation (has been provided).  He wants to catch up 'in a couple of weeks).  24 Mar - Nick has chased.  25 Mar - "I regret that there has been no follow-up so far. Please watch this space, and we will be in touch with updates as soon as we have them."  08 April - "Realistically speaking, the likelihood of a quick project being sanctioned this year are increasingly remote. I believe the ideal situation so as to manage your expectations will be stay in the loop with major updates, and for me to get back in touch with you closer to the start of the new investment cycle in the early part of next year.".  09 April - have offered mAint secure for free for the rest of this year as validation.  28 Apr - Nick has chased.  19 May 0chased, he is OOO, back in tomorrow.  09 June - chased.  13 Aug - Hi Moray - good to hear from you again. A follow up perhaps, but I would need to manage expectations about any potential trials or collaboration. Between now and April, project proposals will not be heard as we are coming to the end of our 5-year price control period. I would be scoping out options for projects that would start no earlier than Q2 2026, and probably considerably afterwards.  1 Sept - Helen had £200k underspend so we have given her a proposal for that, to create mAInt learn.  I confirmed by phone that she had received the proposal.  05 Sept - followed up by email.  12 Sept - followed up by email.  16 Sept - helen called last Tuesday Nick checked in Wednesday, we should find out by the 18th.  19 Sept - they're going ahead and we've given them all our bank details ETC for the PO.  Matthew called - its all ok, just waiting for a call back from Brodies.  we should have final contract for signature today.</t>
  </si>
  <si>
    <t>Iain Lawrence, Steve Martin</t>
  </si>
  <si>
    <t>mAint, mAint Secure</t>
  </si>
  <si>
    <t>Operations Director</t>
  </si>
  <si>
    <t>EuroMechanical</t>
  </si>
  <si>
    <t>UAE</t>
  </si>
  <si>
    <t>no response yet</t>
  </si>
  <si>
    <t>I've upgraded Iain to Ent Stand for a trial.  He's interested in mAint to support their apprentices.  Will set up a demo.  24 Oct -demo'd to Neil McLaughlan and Iain; they liked it; Adnoc is all over AI just now, so they'd like mAint, but they don’t allow any cameras on site at the moment.  mAint secure is the answer to that.    Iain would like to be able to demonstrate mAint at Adipec.  31 Oct - we've created a portal for EuroMechanical, and upgraded Iain's account to Ent Admin.  14 jan - we're getting a meeting set up with them to support the ADNOC trial.  17 Jan - we\ve given them a resellers agreement.  21 Jan - chasing a meeting on the 28th.  27 Jan - i've chased a meeting.  03 Feb - they recently introduced 'My Absorb' Learning Management System.  Iain wants to know if mAint will work within that environment via API.  competency charts.  They need asset management.  Urdu &amp; Hindi.   Interested in P&amp;ID Genie.  Want us to share the roadmap.  All use would be within their own facility. Prashant is interested to know if it will work with hand drawn images, or if it will work with CCTV footage.  Wait for feedback - they need to decide whether to adopt it and after that they will look to become a partner.  17 feb - chased, suggested a meeting next week.  03 March - chased iain and Neil.  10 Mar - called Neil.  Their next step is to define a use case and then get a quote.  Euro are looking to hire an AI consultant, and will get a contract from ADNOC to look at the technology gaps they have.  Prashant seems pivotal to this.  I mentioned DRA's - they're less keen because their cost of manual labour is so low.  Neil would like a system which would turn a hand-drawn sketch into a CAD drawing - ive said we'll look into it.  12 Mar - they've circulated an internal email (CC me), need to scope what they want it for.  I've pointed out the coming functionality.  26 March - Steve Martin will be the POC, i've emailed him to setup a demo.  received an OOO.  Try again Monday 7th.  08 Apr - try again in 2 weeks.  1 May - chased.  13 June - chased.  Nov - at ADIPEC Steve told me that they'd gone down a route with a Canadian business, but they'd come to a halt when they were told that the AI would be £2 Million / year.  11 November - I had a good call with Iain Lawrence this morning.  The guy he wanted too introduce me to didn't show - so I took the opportunity to show him Inspect.
Their problem is that traditionally in valve services you would have certain fixed costs in the contract which were low, but you’d make money on VO’s.  That’s not possible with ADNOC work, because every single potential component is priced in the contract.  The only way you can win work is through efficiency.  He loved Inspect.  They would need to use the ADNOC-mandated inspection report template; I’ve said we’ll take a look.  I have offered him mAint Inspect free for the first 3 months.  I’ve made no commitment or suggestion as to what the cost will be thereafter.  On Monday we will demo to him again, including his over-worked, Indian, QAQC Manager who is drowning in paper.  I’ve told him that review &amp; approval is coming and will be provided at no charge.  17 NOV - demo with Sayed and Goma - they seemed positive.  1.  Output would have to be in ADNOC format.   2.  Data analytics features - number of times a valve has been through the workshop, failures, etc from tag number.  3.  Live Status dashboard for ADNOC.  4.  Commercial integrations (number of machining hours), 5.  External inspctor integrations for approval.  6. They liked the HSE reporting side too (Prashant was previously keen on this) - potential to have a TV in reception, and give visitors a code; that way they can immediately participate on HSE reporting.  17 Nov - proposal provided.  18 Nov - Iain wants to go ahead.  He will get us setup as a vendor.  Once they're using Inspect they want us to develop an Asset management, competence (?), tender response tool.  09 Dec - PO Chased.</t>
  </si>
  <si>
    <t xml:space="preserve">Wayne Thomson, Antonie "Tony" </t>
  </si>
  <si>
    <t>D - Proposal Submitted</t>
  </si>
  <si>
    <t>mAInt Inspect</t>
  </si>
  <si>
    <t>George Dundee</t>
  </si>
  <si>
    <t>ATL</t>
  </si>
  <si>
    <t>Gas Turbine</t>
  </si>
  <si>
    <t>28 Nov - I presented mAint to Wayne and the team last week - they really liked mAInt Inspect.  Today Nick and I met them again - They have a real drive to improve EBITDA, efficiency is needed to improve throughput without adding headcount.  On-Prem solution is interesting.  They really like Inspect - maybe it can be developed to price up their quotes too.  They're also interested in an Asset Management system.  We're visiting them on the 4th.  Excellent opportunity.  02 Dec - Wayne provided sample reports.  we're meeting them at their facility in Dundee on 04 Dec.  05 Dec - proposal submitted.  10 Dec - chased.</t>
  </si>
  <si>
    <t>GC Col Welsh, paul Ratnage</t>
  </si>
  <si>
    <t>I - Prospect</t>
  </si>
  <si>
    <t>DSEI</t>
  </si>
  <si>
    <t>Group Captain</t>
  </si>
  <si>
    <t>RAF</t>
  </si>
  <si>
    <t>moray</t>
  </si>
  <si>
    <t>15 Sept - emailed him.  He suggested we should be in touch with Paul Ratnage of the Sir Sydney Camm centre.  30 Sept - paul requested info on mAInt, I've forwarded it.  17 Nov - chased.</t>
  </si>
  <si>
    <t>Gavin Macdonald</t>
  </si>
  <si>
    <t>Gavin came to meet us at AH.  He liked Kensit and thught it would be useful.  Follow up and look for opportunities.</t>
  </si>
  <si>
    <t>Dan Weil</t>
  </si>
  <si>
    <t>mAint Triage</t>
  </si>
  <si>
    <t>London Tech Bridge</t>
  </si>
  <si>
    <t>05 Sept - have provided details to Dan on the Triage concept - have asked to follow up at DSEI.  15 Sept - at DSEI Dan asked us to be able to generate documentation on helicopter maintenance, compliant with the prevailing CAA regulations.  He can spend £10k without going to tender so thats the plan.  i emailed him on it today.  Follow up.  25 Sept - 
The Teams meeting next week (1 Oct) will be a kick off/handover event. I have identified the lead problem owner within the RN who is really keen to set the requirement and it will be an opportunity to bring on board my successor as we are handing over that day (so he understands that he is expected to facilitate the money – which I need to confirm hasn’t been robbed off us!). I see that as the launch pad for this exciting opportunity though please bear with us as the RN will always operate slower than you and I hope for."  1 Oct - Dan setup that meeting for us as promised.  Attendees included Jon Sutcliff (who is coming into the LTB to replace Dan), Kalyan Sudra  - a grad on RN, Marc Christino (USN LTB CIO), Jeff Brewer (co-director LTB), Brett Gillies (1710 SQN), Elliott "Erroll" Brown (Naval aviation) - possible client, Rob Du-Feu, Aircraft Engineering Officer 815 NAS.  It went well.  Rob Du Feu and Erroll both very interested.  The idea is we would provide a POC demonstrator.  Rob - "we have constant issues with documentation not being compliant.  i am definetlly an advocate of this".  Audit tool seen as being interesting, esp for Air Standing Orders, to improve them so thay can be more effective.  A sailor nearly died a few years ag - HV cabinet wsant isolated, he couldnt take the instrucitons to the point of maintenance and he hadnt printed out the safety part of the instructions.    Our system would look at the documentation (lots of it) and prepare 1 - safety precautions, 2-the work instruction, 3 - the hold points, 4 - final checks, 5 - leave the workplace tidy instruction.  This would be £10k, deliverable before end March.  Seperate opportunity:  Erroll mentioned that he might have a requirement for policy reduction via MASP.  13 Oct - chased.  09 Dec - we gave them a proposal (10k), Nick visited Portsmouth today - system will generate a checklist - all looks positive.  Sounds like they're going ahead.</t>
  </si>
  <si>
    <t>Lee Warrren, Rob Neale, Kamran Shahzad (head of Engineering), Clive Yeoman (pump design submarines), Curtis Tatner (Manufacturing Engineering Manager), Colin Jackson (Value Engineer</t>
  </si>
  <si>
    <t>Engineering Director</t>
  </si>
  <si>
    <t>Rolls-Royce</t>
  </si>
  <si>
    <t>12 Sept - met Lee at DSEI, seemed interested and asked me to setup demo with them - have emailed.  He is eng director, and has also been tasked with bringing AI in to RR.  19 Sept - we demo'd mAInt Secure to Kamran, Colin, Curtis, Clive.  Curtis would like to cut down on non value-add admin tasks.  Colin - it would be useful going through specs and academic papers.  They have an internal search tool ("periscope") but its not very good.  Kamran - can it chat with tiers of information (drawing calls a spec which calls a spec).  Inspections and Learn dont seem so interesting to them.  Next Steps:  a further meeting to focus on their use cases, and including their IT.  24 Sept - followed up.   1 Oct - followed up re:  safety cases; note that both are out of the office.  15 Oct - emailed again/</t>
  </si>
  <si>
    <t>Nurbol Maksatov, Zhalgas</t>
  </si>
  <si>
    <t>James Price</t>
  </si>
  <si>
    <t>KPO</t>
  </si>
  <si>
    <t>Oil &amp; Gas</t>
  </si>
  <si>
    <t>14 Jul - we're demoing to Nurbol tomorrow.  18 Jul - proposal provided.  12 Aug - chased by Email.  25 Aug - Nurbol has been busy and got in touch to intro his colleague.  Will set up a meeting.  02 Sept - chased. 16 Sept - Nick to chase.  18 Sept - Nick Chased.  29 Sept - chased.  17 Oct - chased, they're off rotation.</t>
  </si>
  <si>
    <t>Chris Blake, Craig Walker</t>
  </si>
  <si>
    <t>Unique Group</t>
  </si>
  <si>
    <t>11 Nov - met at ADIPEC - they have an internal version of Smart Manuals but its getting old, they want $30k to update it to the latest LLM's.  Likes the idea of the other functioality they have built in.  Follow up.   05 Dec - demo'd to Craig and Chris - they're embarking on a major ERP renewal project and they seemed to really like what we had to show them.  They're going to chat through, and get back to us.  They have 18 sites, multi-currencies, multi-equipment types.</t>
  </si>
  <si>
    <t>Henry Jemison</t>
  </si>
  <si>
    <t>Henry</t>
  </si>
  <si>
    <t>Enshore</t>
  </si>
  <si>
    <t>"My colleagues really liked it - as you had described, Scotai is reactive and responsive to customer needs, and the feedback internally was for a multi document scanning / assessment system.".  Hi Henry,
That’s fantastic, we are currently working on the multi-doc system a both mAint and mAintSecure.
Happy to chat through a development plan for the uxo system as well. Would everyone be up for a call next week? I can do most afternoons other than Wednesday.
Discussion points would be
mAint solution adoption of either configuration
kensit for market research and industry insights if of interest
UXO ID system
Kind regards,
Nick".  02 oct - chased.  17 nov - chased.</t>
  </si>
  <si>
    <t>Adriana langdon and Julian</t>
  </si>
  <si>
    <t>Eraneos</t>
  </si>
  <si>
    <t>Switzerland</t>
  </si>
  <si>
    <t>Software</t>
  </si>
  <si>
    <t>met at DSEI.l. Software company doing systems for Swiss Post.  They’ve tendered an on-prem system but would have to develop it.  Theyre keen - have called a coupe of times, and have setup a metng for 16 Sept.</t>
  </si>
  <si>
    <t>Gulab Ramchandani</t>
  </si>
  <si>
    <t>Inspection Module</t>
  </si>
  <si>
    <t>Tasneef</t>
  </si>
  <si>
    <t>11 Nov - met Gulab at ADIPEC.  They are the NoBo for vessels, have done 900+ inspections.  Have emailed them.  20 Nov - chased.</t>
  </si>
  <si>
    <t>Husam Labadi</t>
  </si>
  <si>
    <t>Adipec</t>
  </si>
  <si>
    <t>CEO</t>
  </si>
  <si>
    <t>Al Majal technical services</t>
  </si>
  <si>
    <t>Iraq</t>
  </si>
  <si>
    <t>Oil</t>
  </si>
  <si>
    <t>Al Majal are partners with multiple western service co's including Score.</t>
  </si>
  <si>
    <t>Saravanan Swaminathan</t>
  </si>
  <si>
    <t>mAint Inspect +</t>
  </si>
  <si>
    <t>CEO, International Division</t>
  </si>
  <si>
    <t>Altrad Babcock</t>
  </si>
  <si>
    <t>20 Nov - chased.  1 dec - chased</t>
  </si>
  <si>
    <t>Khaled Al Hashemi</t>
  </si>
  <si>
    <t>Moray/Adipec</t>
  </si>
  <si>
    <t>Sr Ops Manager</t>
  </si>
  <si>
    <t>Dolphin Energy</t>
  </si>
  <si>
    <t>06 nov - klaled.alhashemi@dolphin-energy.com. Send through an email with details of capability and request a demo.</t>
  </si>
  <si>
    <t>Graeme Cross</t>
  </si>
  <si>
    <t>G - Presentation Held</t>
  </si>
  <si>
    <t>Europe Sales Manager</t>
  </si>
  <si>
    <t>James Fisher</t>
  </si>
  <si>
    <t>wants a meeting - they have an initiative looking at it.</t>
  </si>
  <si>
    <t>29 April - we met Richard van der Tuin and Arjan today - they were impressed and want us to present to their AI team.  Action:  set up a free Starter Kit Trial; set up meeting with the greater JF org.  04 June - Richard previously tpold us the Dutch trans is really good.  Ive chased.  24 june - chased again,.  11 Sept - follow up telling him about some of the new capability.  05 sept - bumped into Graeme Cross at OE, he's taken Richards old job.  Seems interested in mAint, have sent a message on LI.</t>
  </si>
  <si>
    <t>Jessica Tempest, possibly Matt Ashworth</t>
  </si>
  <si>
    <t>BAE Systems</t>
  </si>
  <si>
    <t>15 Sept- we met Jessica on the BAE stand last week, and she offered to put me in touch with Matt Ashworth who she throught would be intersted… but it turns out that BAE has invested in Oxford Dynamics, who demo'd their system to me - it was like the mAint MVP.  30 Sept - chased.</t>
  </si>
  <si>
    <t>Steve Little</t>
  </si>
  <si>
    <t>Business Manager</t>
  </si>
  <si>
    <t>Frazer Nash</t>
  </si>
  <si>
    <t>01 Oct - Frazer Nash is interested in discussing safety cases.he is OOO until 15 Oct - get in touch then and setup a meeting.</t>
  </si>
  <si>
    <t>John Bunney</t>
  </si>
  <si>
    <t>VP</t>
  </si>
  <si>
    <t>BP</t>
  </si>
  <si>
    <t>15 Sept.  John is a friend of Morays.  I've recorded a few demo's for him. He has sent our presentation to 4x other VP's, and he also asked for more info over the weekend on performance with data in tables.  He' like it to be able to output as excel - we've told him we can do it and would love to discuss.  16 Sept - he wants to know if we can scrape numbers interspersed within text - ive told him it can.  24 Sept - chased.  30 Sept - chased.</t>
  </si>
  <si>
    <t>Phil Jeacock, Javid Khan,  Rob Levene, Mark Daniell</t>
  </si>
  <si>
    <t>Environmental Test Manager</t>
  </si>
  <si>
    <t>Leonardo</t>
  </si>
  <si>
    <t>has emailed their director to discuss</t>
  </si>
  <si>
    <t>No</t>
  </si>
  <si>
    <t>I messaged Phil to let him know about mAint Secure.  05 sept - have messaged Javid to try to setup a meeting in London (DSEI).  15 Sept - didn’t manage to setup a meeting last week - no comms at the show.  I met Rob Levene (Rob.Levene2@leonardo.com) who suggested we should speak with simon harwood or Mark Daniell.  I've emailed Mark Daniell (Rob thought he's more likely to respond).  17 Sept - chased.  15 Oct - chased.</t>
  </si>
  <si>
    <t>Martin Dijkstra</t>
  </si>
  <si>
    <t>Gavin Catto</t>
  </si>
  <si>
    <t>EWT</t>
  </si>
  <si>
    <t>NL</t>
  </si>
  <si>
    <t>07 Oct - Gavin introduced us, I asked for a meetng.  17 Oct, chased.  He iss OOO until the 22nd.</t>
  </si>
  <si>
    <t>Principal Consutlant</t>
  </si>
  <si>
    <t>SAMS</t>
  </si>
  <si>
    <t>30 Sept - Nick had a meeting with Stve last week…. 03 Oct -SH:   "No worries. The meeting was good with Nick and a couple of my team are keen on trying out Kensit. We haven’t had a chance to discuss it properly, but I think Nick said to just drop him a line if we want to register a couple of people for a try-out."  I've asked them to setup an account so we can get them onboarded.  17 oct - Andy Lambert setup an account so i gave him 1,000 free credits &amp; offered a 15-minute demo.</t>
  </si>
  <si>
    <t>Gordon Hart</t>
  </si>
  <si>
    <t>Innovation Lead</t>
  </si>
  <si>
    <t>MBDA</t>
  </si>
  <si>
    <t>15 sept - emailed.  17 oct - chased.</t>
  </si>
  <si>
    <t>Richard Adams</t>
  </si>
  <si>
    <t>RB Safety Consultants Limited</t>
  </si>
  <si>
    <t>17 Sept - Richard is a friend &amp; colleague; we caught up at DSEI.  He's interested in using mAint for safety cases.  Setup a demo.  30 Sept - chased.  1 Oct - met with Richard.  SC is "claims - argument - evidence".  He thought the auditing module would be useful.  Focus on awareness of what AI can do, governance, culture / trust.  Human element to be retained.  Lots of their work is done on customers systems / networks.  SC is done in parallel with design.  leads to operating instructions &amp; maintenance actions.  Auditable records are essential.  Interested in Kensit too.  Next step - meet with safety case leads and their customer before testing anything.  Next meeting is 10 Oct.  10 October - next meeting os product demo - early november.  14 Nov - met with Mike, he loved it.  03 Dec - chased.</t>
  </si>
  <si>
    <t>Robert Smithies</t>
  </si>
  <si>
    <t>Atkins Realis</t>
  </si>
  <si>
    <t>15 Sept - met Robert at DSEI, seemed very interested, got his whole team huddled round to speak.  Have emailed him.  17 Oct - chased.</t>
  </si>
  <si>
    <t>Keith Norton, Taph Willumsen</t>
  </si>
  <si>
    <t>MASS</t>
  </si>
  <si>
    <t>12 Sept - met Keith at DSEI - seemed most interested.  Got his whole team to huddle round.  16 Sept - have messaged Taph on LI.  17 Oct - chased.  18 Nov - demo'd to Chris Carte - he really liked it - they want to invite us down to present to them in Norfolk.  They setup secure networks for special applications.  Useful when updating rules of engagement to undersstnad the differences.</t>
  </si>
  <si>
    <t>louise Ibbs</t>
  </si>
  <si>
    <t>Go Digital</t>
  </si>
  <si>
    <t>Shell</t>
  </si>
  <si>
    <t>06 June - met at Go Digital - l.ibbs@shell.com. 29 Sept - chased.</t>
  </si>
  <si>
    <t>Ornella Schavemaker-Piva, Elke Croonen</t>
  </si>
  <si>
    <t>DSET</t>
  </si>
  <si>
    <t>AI Engineer</t>
  </si>
  <si>
    <t>Dutch Army Netherlands Military</t>
  </si>
  <si>
    <t>Ornella "liked" our DSET post, I've sent her a note on LI.   I showed her the system in Bristol - and (21 Jul) she's responded.  She has introduced Elke Croonen E.Croonen@mindef.nl.  31 July - Elke is innovation Manager for all NL armed forces, including AI &amp; technical medicine.  interested in offline AI &amp; a medical assistant app.  they have a big medical database.  08 Oct - chased.</t>
  </si>
  <si>
    <t>Charles Goldwyre</t>
  </si>
  <si>
    <t>H40</t>
  </si>
  <si>
    <t>Moray / CPH</t>
  </si>
  <si>
    <t>Head of Service</t>
  </si>
  <si>
    <t>Full Circle Wind</t>
  </si>
  <si>
    <t>09 April - he loved it - best meeting he had that day - it immediately fixes 6 or 7 of the 10 things he's targetting.  He will need to set up another demo.  They are in a group of a bunch of companies - there's opportunity here. He might want to integrate with Safety Culture.  we would need to help hm tell the guys wht they need for a mob - all the spares etc - he knows that would be an additional module.  i told them it's about £1.20/day/user for the next subscfriber, going up by 20% after that, then more increases unless already a subscriber. C.goldwyre@fullcirclewindservices.com. Jason ORourke is their Senior System ENgineer, we'd need to convince him that mAint is respectful of IP &amp; secure.  11 April - i've emailed Charles to try to set up a meeting.  Billy (their CEO) confirmed on LI that Charlie and Jason were both impressed.  23 April - chased.  29 April - we did a couple of demos they seemed to go OK.  06 May - chased (mentioned All Energy).  15 May - met Charlie at All-Energy.  He introduced us to Rob, their Group Director, who wanted us to meet them in the Netherlands.  He's got 600 people on site at Sellafield, hundreds working on railway maintenance, about a dozen companies in total.  They really want multidoc.  Jason O'Rourke interested in custom dev to turn hand-drawings into proper line diagrams.  Keen on all mAint deployment.  Pilot wanted.  19 May - chased, and intro to Rob  requested (regional director, has companies in rail and nuclear as well as wind).  09 June - i visited them last week in NL.  It sems like they're going ot go ahead.  Tim is the decision maker.  They use 'Safety Culture', but our software is better.  "it's a shame that theyv;e so recently brought it in. or they'd replace it with mAInt".  Theyre still interested in mAint.  They'd like something to help with them do programming which isnt Chat GPT (their clients ask them if they use it, they want to be able to say "no".  I need to send them an email confirming that they can have the ticket system for support, and addressing the software dev side.  Tim is on holiday, we wont get a decision for a couple of weeks yet.  24 une - chased.  16 Sept - i've chased this a couple of times.  Try again.  Nick to try this time.  1 Nov - Charlie responded to a LI message/;/. We have a new COO and I’m certain we can move forwards with this now.
He’s more forward thinking.  I’m sold.  Thanks for your message.  I’ll reignite the conversation.  09 dec - chased.</t>
  </si>
  <si>
    <t>Ian McGillivray</t>
  </si>
  <si>
    <t>SPECIALIST OILFIELD SERVICES </t>
  </si>
  <si>
    <t>Kuwait</t>
  </si>
  <si>
    <t>send</t>
  </si>
  <si>
    <t>he's interested in a demo.  26 Nov - demo will be in January.  15 Jan - Ian and Biju really liked it.  They're part of a massive, femily owned industrial group - Ian is going to set up a meeting with Gavin Aiken and Chris Hatton for us.  They're also going to send over some big manuals for us to try.  Keep in touch, try and get a demo with the decision makers.  17 Jan - the BOP manual he gave us isn't working.  27 Jan - Ian emailed to say the BOP manual is really what they need - the images are critical.  We've told him this will be H2 2025.  25 August - Ian got back in touch, he has a new boss who is more tech focussed - having a call with him later.</t>
  </si>
  <si>
    <t>Alex Jodhan</t>
  </si>
  <si>
    <t>Dev</t>
  </si>
  <si>
    <t>Justin</t>
  </si>
  <si>
    <t>Dumore</t>
  </si>
  <si>
    <t>Trinidad</t>
  </si>
  <si>
    <t>03 Feb - Alex is 2nd gen, now owns the business.  His sister is responsible for HSE, IT, HR, Security.  He loved the demo.  Interested in a tool to manage equipment, rentals, inventory.  Forecast usage, cost changes, correlation with prices of steel, chromium, nickel, etc.  200 staff, 18mUSD revenue, spend $4.5M/yr on stuff for stock.  Interested in being a commercial partner too.  Next step - he will give us some documents. we'll give him a tailored portal to try.  17 Mar - Nck setting up a portal for him.  26 Mar - we demo'd to Latoya and her colleague - they loved it, Alex Jodhan needs to see it.  24 April - ive asked Justin to chase.  5 may - chased.  28 May - after we did another demo and then submitted a proposal, its gonw quiet.  ive chased.  05 June - we had a conversation with them and await next steps.  10 June - chased.  11 June - Alex asked for a governance document, we have responded.  24 June - chased.   Yes we do, apologies for the delay. 
We are getting our side planned out in terms of execution, users and training roll out - and we are in process of testing SAP BYD which is in its implementation phase.
Can you give us another few weeks?  (have given them 10 days).  14 Aug - chased, offered an update to look at how the system is evolving.  29 Sept  It's great to hear from you. 
We would be happy to keep update with the progress of the platform.
With our SAP implementation, we are into the data migration prep now so that's progressing. We are also finishing up testing and doing an initial upload for testing.
Fingers crossed we will be operational by December 2025.</t>
  </si>
  <si>
    <t>Z - Partner / Revenue Share</t>
  </si>
  <si>
    <t>Referral from SVS</t>
  </si>
  <si>
    <t>Tullitec</t>
  </si>
  <si>
    <t>11 Nov - Tullitec are a flreelance / fractional CIO.  Their services are often paid for through Scottish Enterprise.  George is working for SVS.  He loves mAInt, and wants to mention it to multiple clients.  He asked for more information (number &amp; size of documents for example) - worth keeping in touch.  20 Nov - ive emailed George to get that coffee sorted.  26 Nov - he's cancelled the coffee, moving it to the new year.  Get back in touch in January.  15 Jan - ive sent him a note.  20 Jan -we're meeting him on Wednesday.  22 Jan - Nick met with George who loves what we're doing.  lots of opportunities.  Nobody is doing LMS right - he loves our solution and cant believe how cheap it is.  27 Jan - met Paul and George, we're going to get them set up with a test account so they caxn demo mAInt to potential users.  06 Mar -0 Nick has chased.  06 Jun - Nick chased.  30 Sept - update sent.</t>
  </si>
  <si>
    <t>Ally Hogg</t>
  </si>
  <si>
    <t>Head of Commercial and BD</t>
  </si>
  <si>
    <t>Kenera</t>
  </si>
  <si>
    <t>None yet</t>
  </si>
  <si>
    <t>I've dropped him an email - and a chaser.  20 Aug - Ally wants a demo, will suggest some times next week.  02 sept - ive chased.  10 Sept - we had a callwith Ally and Mick Carter (business systems manager) earlier - theyre only just evaluating things like CoPilot.  They liked it.  We'll have another demo in a wee while.  Action is to send them price details.  Ally's also interested in kensit. 17 Oct- sent an email chasing a response.   28 Oct - he responded - will get back to us in a couple of weeks.  25 Nov - Sorry for the lack of response. We are currently flat out and fully focussed on getting the H&amp;P acquisition closed before year end. Getting attention to do anything ‘new’ is a hard sell so I wouldn’t expect much from the KCAD/Kenera side right now. Don’t rule us out of anything just yet, will keep in touch as things progress.  18 dec - i've told Ally that if he takes the Starter Kit in January he will get 20x unlimited Kensit licences for 6 months, and we'll work with him to get the tendering software done.  10 Jan - emailed him with an update.  13 Mar - further update provided.  29 Oct. We are now well into the H&amp;P transition and I’m glad to say we are getting back to business!
I was hoping you would have some time for a quick call. It would be great if we could revisit some of the applications you shared last time we spoke. One of the topics I wanted to discuss was re. customer support – particularly around supporting troubleshooting outside working hours (i.e. a means of helping customers source guidance from our operating and maintenance manuals etc). I’m sure this was part of what you guys shared last time round?
 20 nov - i met Ally again at adipec.  theyre keen to have a system to hgelp provide out of hours support.  has asked us to get back in touch, set up a demo.</t>
  </si>
  <si>
    <t>Adrian Payne</t>
  </si>
  <si>
    <t>C - Setup Trial</t>
  </si>
  <si>
    <t>Global Account Developer</t>
  </si>
  <si>
    <t>SGS</t>
  </si>
  <si>
    <t>15 May - they seemed to love it - ask for feedback.  25 June - followed up with Rob Ross.  29 Sep - chased.  12 nov - asked him if he has 10 miinutes on Friday.  09 Dec - we've provided Barna with a trial account.  We were scheduled to meet them on Friday, but its cancelled - Barna didnt have time to test out the system.  Instead, we're going to meet end-Jan, with a 1-hour meeting before then.</t>
  </si>
  <si>
    <t>Paul K Richards</t>
  </si>
  <si>
    <t>Framatome</t>
  </si>
  <si>
    <t>Defence &amp; Space Director</t>
  </si>
  <si>
    <t>Engineering</t>
  </si>
  <si>
    <t>23 sept -I met Paul at DSEI - Framatome is the French &amp; American nuclear company owned by EDF.  I've dropped him a line about Secure.  03 Oct - Paul has asked us to visit Framatome in Bristol, to discuss collaboration.  Flights are cheap so we've said OK.  An outline agenda for the meeting (from our call earlier) would include:
Intro to Framatome including footprint, sectors, targets and challenges. 06 Oct - NDA revecived from Framatome.  MM to respond.
Intro to ScotAi including current capabilities, target sectors, a demo of our existing technologies, and (customer-driven) roadmap for the future.
How the businesses can collaborate for success.  09 Dec - we gave them a discussion document, no response, chased today.</t>
  </si>
  <si>
    <t>James Connely, Luke Allen</t>
  </si>
  <si>
    <t>Prism</t>
  </si>
  <si>
    <t>Sales Dir, MD</t>
  </si>
  <si>
    <t>EviFile</t>
  </si>
  <si>
    <t>03 Dec - they've been pitching to Aurora as a wrapper for different tech (see slides in photos).</t>
  </si>
  <si>
    <t>James York, Mark Holden, Pete Passaro</t>
  </si>
  <si>
    <t>Babcock</t>
  </si>
  <si>
    <t>15 Sept - James mentiond that there were two opportunities we needed to talk about.  02 Oct - chased.  1 Dec - emailed Pete and James.</t>
  </si>
  <si>
    <t>Mike Clark</t>
  </si>
  <si>
    <t>Qatar Gas</t>
  </si>
  <si>
    <t>Qatar</t>
  </si>
  <si>
    <t>Morays old mate from Score days, is a senior buywe at QG.  Wants to know more.  Seup accounts for him.</t>
  </si>
  <si>
    <t>Hassan Abuththaibah</t>
  </si>
  <si>
    <t>Go Digital Energy</t>
  </si>
  <si>
    <t>Saudi Aramco</t>
  </si>
  <si>
    <t>KSA</t>
  </si>
  <si>
    <t>5 June - met Hassan at Go Digital Energy.  Follow up and request a demo hassan.abuthibah@aramco.com. 25 June - chased.  15 Aug - ive emailed with an update.  30 Sept - may have had his wrong email address - have tried again.</t>
  </si>
  <si>
    <t>Steven Simpson</t>
  </si>
  <si>
    <t>Superintendent - Performance Management</t>
  </si>
  <si>
    <t>Khafi Joint Operations KJO</t>
  </si>
  <si>
    <t>Saudi</t>
  </si>
  <si>
    <t>05 Sept - met him in Aberdeen, is interested in mAint Secure, have sent details.  17 Sept - chased.  30 sept - cahsed.</t>
  </si>
  <si>
    <t>Chad Burns</t>
  </si>
  <si>
    <t>Leonardo DRS</t>
  </si>
  <si>
    <t>USA</t>
  </si>
  <si>
    <t>17 Sept - Brian Byrd put us in touch with Chad Burns.  I've sent through a presentation.  Follow up.  01 Oct - presentation sent.</t>
  </si>
  <si>
    <t>Andrew</t>
  </si>
  <si>
    <t>Almaeer</t>
  </si>
  <si>
    <t>Dubai</t>
  </si>
  <si>
    <t>11 Nov - met Andrew at ADIPEC.  He liked the sound of Inspect.  He lives in BoD, is Ukrainian, they're a UAE business doing inspection stuff.</t>
  </si>
  <si>
    <t xml:space="preserve">Kyle Peart </t>
  </si>
  <si>
    <t>Melanie Hayes</t>
  </si>
  <si>
    <t>NATS</t>
  </si>
  <si>
    <t>Aviation</t>
  </si>
  <si>
    <t>20 May - we demo'd to the L&amp;D team comprising Kyle (who is ex-Raytheon),  Hannah Roper (designer), Richard Phillips.  They use a combo of air-gapped and cloud services.  They can see that mAint Secure is "very relevant" to their use case.  Links to and use of operational documentation are important.  Nick to advise on final 10 minutes of the meeting. 09 June  - Nick has asked for feedback.  16 June - Apologies for not getting back to you sooner. We have had a bit of change here and leave. I will regroup with the team and go from there. I know there was a good and positive reception from the demo.
Ill ask them to collate feedback and potential uses for use in a call with yourselves to not lose any further momentum.  1 jul - chased.  16 Sept - Moray to chase.</t>
  </si>
  <si>
    <t>James MacRae</t>
  </si>
  <si>
    <t>Operations Manager</t>
  </si>
  <si>
    <t>Gael</t>
  </si>
  <si>
    <t>15 May - he loved it.  Really interested in it.  Get a demo setup.  Looking to be as lean as possible.  Interested in Quiz, Inspection, etc.  19 May - chased, demo requested.  09 June - Chased.</t>
  </si>
  <si>
    <t>Iain Malcolm</t>
  </si>
  <si>
    <t>Swire Energy Services</t>
  </si>
  <si>
    <t xml:space="preserve">09 Dec - Chased. </t>
  </si>
  <si>
    <t>Moray / Offshore Wind in Manchester</t>
  </si>
  <si>
    <t>Exec Director</t>
  </si>
  <si>
    <t>Bilfinger UK</t>
  </si>
  <si>
    <t>Maintenance</t>
  </si>
  <si>
    <t>"Quite taken with this". "Sold on what you've demo'd"</t>
  </si>
  <si>
    <t>04 July - I met Sandy with John Sinclair at GOW in Manchester.  The week previous he'd been at their Group Directors Mid-year business conference in Germany where they'd been tasked with looking at how AI could change their business.  I gave Sandy a demo of mAint, Quiz today, and he loved it.  Next step is demo it to his directors of digital and training, then cascade to the wider group.  10 Jul - i've emailed Sandy to chase next steps.  17 July - ive emailed Sandy again.  07 August - Sandy set up a presentation to his UK leadership team (Stephanie Broadley, training &amp; competence, Darren Clement, VP Engineering and Projects, Mark Kelly Head, Digital Innovation, Sue Rice, HR Director and Sarah Rodrigues, Marketing &amp; Comms Director.  in addition to Chat &amp; Quiz, we showed them screenshots of the image recognition functionality.  It seemed to go well.  The team were going to discuss it further without us.   present.  in mid-September they have to present how they will use AI in their business at their UK conference.  UK business has 2,000 staff.  12 Aug - feedback from Sandy was: Apologies, I was going to drop you a note yesterday to thank you for the presentation.It covered exactly what I wanted and gave lots of inspiration and ideas for the team regarding practical uses for AI in our industrial market sector. It’s my first week back and several pressing issues so I still need to regroup and hold a proper feedback session with the team but first impressions for them was positive. I have tasked our Digital and Innovation Manager (Mark Kelly that attended the call)  to cross check what our headquarters are doing on similar AI topics ( training, compliance, user manuals etc). I hope to revert back to you in the coming weeks with an honest answer on what we have inhouse versus where we may need help."  22 Aug - i've sent a follow up to Sandy telling him about the coming features.  29 Aug - i've sent a workshop image together with a response (HSE Audit checklist) to Sandy by way of an update.  20 Sept - i've sent a pic of some rusted beams, plus the CVS press release.  1 Oct - i tried to call Sandy, no response.  1 Oct - I spoke to Sandy - they've been able to replicate lots of what we do, but Sandy admits that it's not necessarily packaged.  I've reiterated that mAint is available as a plug-in, is low cost, and is consistently benchmarked against the performance of LLM\s as they're launched.  I've admitted that it is in part a package of available AI's.  He's admitted that his system wont do Quiz, or generate QR's.  Last contact was October 2024.  I15 Apr - ive emailed him again.  19 May - told him about Inspect and Prism - "Your latest developments are of interest to me and might be worth a short conference call sometime in the coming weeks if you wanted to talk me through any developments in your business."  21 May - i emailed Sandy a screenshot of mAint Inspect.  10 June - chased.  01 july - chased.  29 sept - cahsed.</t>
  </si>
  <si>
    <t>Chris Hughes</t>
  </si>
  <si>
    <t>Website (possibly DSEI)</t>
  </si>
  <si>
    <t>Unknown (Airbus or Leonardo?)</t>
  </si>
  <si>
    <t>15 Sept - Chris emaild in asking about accuracy, hallucination. Emailed back within anhour.  Follow up. 16 Sept - chased.  17 Sept - responded - wait.  30 Sept - followed up.  17 Oct - have offered a trial of Kensit.</t>
  </si>
  <si>
    <t>Priscila Weberszpil</t>
  </si>
  <si>
    <t>Energean</t>
  </si>
  <si>
    <t>Greece</t>
  </si>
  <si>
    <t>04 June - I met Priscila at Go Digi Energy.  She is responsible for production on the FPSO offshore Israel, and the company has also decided to make her their AI champion.  She was really nice, positive, enthusiastic &amp; kind - follow up with her.  pweberszpil@energean.com. 10 June - sent.  24 june - proposal submitted.  follow up in a couple of weeks.  Note she's interested in maybe being able to do P&amp;ID's - would be a development for them.  22 Jul - chased.  "we are focusing on other priorities and will need to place this initiative on hold for the time being. We would be happy to revisit this conversation once the timing is more suitable for us."</t>
  </si>
  <si>
    <t>Accelerator</t>
  </si>
  <si>
    <t>Nat West Accelerator</t>
  </si>
  <si>
    <t>Banking</t>
  </si>
  <si>
    <t>Mike King</t>
  </si>
  <si>
    <t>LI</t>
  </si>
  <si>
    <t>Exec Technical Services Directpr</t>
  </si>
  <si>
    <t>Robertson Group</t>
  </si>
  <si>
    <t>Homes</t>
  </si>
  <si>
    <t>messaged via LI; he responded and is interested, follow up.  06 Oct - chased. 17 oct - chased.</t>
  </si>
  <si>
    <t>Raj Lagah, Jamie, Ragnhild</t>
  </si>
  <si>
    <t>Chief Architect</t>
  </si>
  <si>
    <t>XLCC</t>
  </si>
  <si>
    <t>Cables</t>
  </si>
  <si>
    <t>23 Sept - messaged on LI.  SNIB.  17 oct - tried Jamie the CIO.</t>
  </si>
  <si>
    <t>Tony Marsh</t>
  </si>
  <si>
    <t>Mission Partner</t>
  </si>
  <si>
    <t>Morayu</t>
  </si>
  <si>
    <t>Defence &amp; Nuclear</t>
  </si>
  <si>
    <t>15 Sept - Paul at KBR introduced us - safety cases.  17 oct - emailed to try and setup a meeting.</t>
  </si>
  <si>
    <t>Paul Pearson, Dave Clouting</t>
  </si>
  <si>
    <t>KBR</t>
  </si>
  <si>
    <t>Nuclear</t>
  </si>
  <si>
    <t>15 Sept - Paul Pearson intro'd Dave Clouting.  I've emailed Dave.  17 oct - chased; email address failed so ive messaged him on LI.</t>
  </si>
  <si>
    <t>Vanessa Engber</t>
  </si>
  <si>
    <t>Defence Marketing Manager Intelligence</t>
  </si>
  <si>
    <t>Airbus</t>
  </si>
  <si>
    <t>Germany</t>
  </si>
  <si>
    <t>15 sept - emailed.  15 Oct - Vanessa mailed to say she'd shared details of mAInt with her colleagues.  Follow up in a couple of weeks.</t>
  </si>
  <si>
    <t>Ian Henderson</t>
  </si>
  <si>
    <t>AI Supremo</t>
  </si>
  <si>
    <t>Thales</t>
  </si>
  <si>
    <t>15 Sept - I met Ian (PhD in AI) at DSEI.  He asked for details on Maint Secure, which ive sent.</t>
  </si>
  <si>
    <t>James Bradford</t>
  </si>
  <si>
    <t>North Star</t>
  </si>
  <si>
    <t>Renewables</t>
  </si>
  <si>
    <t>23 Sept - ive messaged him on LI.  SNIB.  17 oct - chased.</t>
  </si>
  <si>
    <t>Khalid Yousouf / Darren McIlvenny / Neil Mulligan / Rick Lucas</t>
  </si>
  <si>
    <t>B - Trial</t>
  </si>
  <si>
    <t>ADNOC</t>
  </si>
  <si>
    <t>Iain showed him at Adipec.  Moray to follow up. kayousuf@adnoc.ae.  13 Nov - Khaled responded requesting materials on the system.  18 Nov - ive asked him to confirm a time for the demo.  20 Nov -  demo'd mAint to Khalid Yousouf (corrosion engineer), Fatima Ibrahim Almarzooqi (new tech), Rashed, Noora.  Corrosion engineers each looking at a different plant.   “90pc of enquiries dealt with by the SME’s are in the manual” (so this would make SME's up to 90% more effective).  “This would enhance the safety culture”.  At adipec They saw a system for visitors, it took an image of someone and said whether they were wearing the right PPE and gave them a green or red light.  I’ve said we could do the same, but we would add a Quiz on the equipment they would be working on.  They liked that.  They would like Arabic voice input.  They would like to get senior management involved and then trial it at one plant.  They asked if we have a UAE office - I said we would love to, we just haven’t had time yet.  In the meantime they are happy that EuroMechanical are our local partners.  They like the convenience - accessing information in the field, they want to be able to access history too (maintenance record?). Their guys have Ex tablets already but they’re not that useful - they prefer to use a pencil and paper as a result.  “It’s ok Moray, I have you on speed dial.  Your responsiveness has been excellent”.  NEXT STEP:  further demo to their higher management.  Khalid wil be in touch.  26 Nov - i've chased.  04 Dec - i've emailed, and got an OOO from him - not much detail on it though.  11 Dec - i tried calling him, went dead. 16 Dec - chased.  07 january - Neil Mulligan set up a call with Darren McIlvenny.  he is the focal point for AI in ADNOC technical academy.  they are focussing on AI, immersive experience.  He likes mAint - its AI from a different angle,  Might want to integrate it into their 3D viewers 17 Jan - i emailed asking for a kickoff meeting.  their Ent account is live, 5 seats.  27 Jan - i have chased, we need to onboard them.  30 Jan - Darren hasnt responded to emails so i tried calling, no response.  tried Neil too.  03 Mar - chased.  13 Mar - ive tried again.  they've decided to go with customised Chat GPT.  4 June - I met Rick Lucas at Go Digital Energy and gave him a quick demo.  follow up.  rwalterlucas@adnoc.ae. 09 June - Rick responded - theyve got something similar which is internal - but ive given him some slides and hes offered to give them to his old colleafgues.  16 June - follow up once we have the share quiz functionality.  29 Oct - chased.</t>
  </si>
  <si>
    <t>y. Gokce Ozturk</t>
  </si>
  <si>
    <t>Co-Founder</t>
  </si>
  <si>
    <t>Intercon Offshore Services</t>
  </si>
  <si>
    <t>Turkey</t>
  </si>
  <si>
    <t>15 Sept - met Gokce at OE I ABZ.  Is interested in uploading API XXX info for his team.  Setup a demo.  17 Oct - chased.</t>
  </si>
  <si>
    <t>Assel &amp; Sungat</t>
  </si>
  <si>
    <t>TCO</t>
  </si>
  <si>
    <t>James put us in touch - ive emailed them.  24 sept - ive followd up.</t>
  </si>
  <si>
    <t>Pablo Carazo Morales</t>
  </si>
  <si>
    <t>WTG Technical Lead</t>
  </si>
  <si>
    <t>Iberdrola</t>
  </si>
  <si>
    <t>Spain</t>
  </si>
  <si>
    <t>He's interested - follow up.</t>
  </si>
  <si>
    <t xml:space="preserve">Lawrence Soobramoney </t>
  </si>
  <si>
    <t>NSS</t>
  </si>
  <si>
    <t>James put us in touch - ive emailed him.  24 sept - chased.  17 oct - chased.</t>
  </si>
  <si>
    <t>Alina Forbes</t>
  </si>
  <si>
    <t>Sales &amp; Operations Director</t>
  </si>
  <si>
    <t>Specialist Valve Services svs</t>
  </si>
  <si>
    <t>I've messaged alina again to set up a demo.  21 Aug - she's agreed to a demo in Aberdeen on the 28th, in Aberdeen.  29 Aug - the demo went well, she's setting up a follow-up meeting with her colleagues / management team to look at it again.  11 Sept - Alina asked some queries following our demo to them.  Action:  look at next steps.  next steps - they will show us learn 365 (is happening 26 Sept). 15 Oct - Nick and Moray met Iain in Aberdeen - he seemed to now be selling mAint rather than Learn 365.  We have subsequently met with their software guys (Tullitech) and await feedback (they were enthusiastic).  04 Nov - Iain advises that they've not heard back yet, but SVS wants to be front-foot, not adopting existing, easy tech.  13 Nov - Nick has been in touch with Iain at SVS - they're still waiting to get back to us...  25 Nov - chased.  11 Dec - Moray chased Iain.  Tried calling, no response so emailed instead.  16 DEC - Iain is OOO for Christmas now, and Alina didn't answer, so i've emailed with the tender offer.  16DEC  - they've been busy.  conversations on hold until January.  Not dead yet.  14 Jan - followed up.  29 Jan - ive emailed Alina and Ian to let them know that we're in Aberdeen on the 18th Feb.  18 Feb - they really like mAint, so does Tullitec.  They;re now looking for an ERP system but have specced something which can take an API.  they want a full platform.  Tullitec is doing the costing for them.  from sales to quote to production to invoice.  Full analytics dashboard.  Production is the focus for now.  Action - tell them what has been done, what the roadmap looks like.  31 Mar - chased.  19 May - chased.  02 Oct - chased via LI message.</t>
  </si>
  <si>
    <t>Jon Mussett</t>
  </si>
  <si>
    <t>kensit, Agatha</t>
  </si>
  <si>
    <t>Strategic Programmes Director</t>
  </si>
  <si>
    <t>HV Manufacturing Catapult HVMC</t>
  </si>
  <si>
    <t>Manufacturing</t>
  </si>
  <si>
    <t>Signed up (brAid)</t>
  </si>
  <si>
    <t>next step is for HVMC to write SoR for dev of Agatha for discussion on the 6th of October.  Phase 1 document tagging - 10 years of HVMC sharepoint files, phase 2 convert tagged docs in to AI trained nowledge Bsae.  Phase 3 is mAint-like interface on top of the knowledge base.  For kensit, they get 4 week free trial once the app is live.  They were warm about the reports we did - really good value for money - but we've not asked them for a press release yet.  on the 24th Sept remind him to come back to us with a Scope of Work for Kensit. 30-9 Sent 2 email reminders, awaiting response. 28 Oct - Nick to chase Chris at HVMC.  11 Nov - Nick emailed Chris - not a priority for them at this time - follow up again mid-Dec.  25 Nov - followed up.  11 Dec - Moray tried calling Jon, no response.  18 Dec - same again.  20 Jan - i tried calling Jon Mussett again - no response.  I've emailed him as well.  04 Feb - presented Kensit to them (not Jon - Andy Johnston-Luff, Lauren Flanagan and a lady called Claire), they loved it.  They can see the usefulness.  Everyone will see merit and value.  they would use it to sift info, speed up enquiry responses, collate info for writing speeches... we've suggested that we give them a speech writer.  Lauren will provide some old speeches for inspiration.  17 Feb - Nick is chasing HVMC.  10 Mar - Nick has messaged a chaser.  24 Apr - ive asked Nick to chase.  28 Apr - Jon advises" Thanks for the update. We’ll have a mull!"  09 Jun - Moray emailed him.  02 Oct - chased.</t>
  </si>
  <si>
    <t>Drafted.</t>
  </si>
  <si>
    <t>Martin Fauset</t>
  </si>
  <si>
    <t>Elbit Systems</t>
  </si>
  <si>
    <t>12 sept - met Martin at Elbit, he promised to forward email on to the person responsible.  17 Oct - have chased a couple of times now.</t>
  </si>
  <si>
    <t>Alasdair MacPhee, Dione Stefan Hendren</t>
  </si>
  <si>
    <t>C30</t>
  </si>
  <si>
    <t>Hamburg</t>
  </si>
  <si>
    <t>Service Manager</t>
  </si>
  <si>
    <t>Fred Olsen Renewables / Natural Power</t>
  </si>
  <si>
    <t>26 Sept - I met with Alasdair in Hamburg - he seemed really interested.  08 Oct - I've called and emailed a couple of times - keep trying.  22 Oct - emailed again.  If I don’t hear back, call once more then stop.  22 Oct - Hope your well. I’ve actually forwarded your email on this morning to the Continuous improvements manager to discuss internally and sure we will be in touch soon. It’s something we want to look at.   I’ll get in touch once we discuss which will more than likely be next week. .  29 Oct - Chased.  Al has said I should speak with Dione, their business improvement chap.  I've messaged him on LI.  30 Nov - he's responded - wants to set something up 'in due course'.  I've told him we want to make the transition to self-operating wind 42x easier.   05 Nov. I think we will revisit this in the new year if that’s ok so please reach out again then. I’ll stick a reminder to contact you in the new year. We just have too much going on at the moment.  20 Feb - ive sent a follow up.  25 Feb - Al is finishing a project just now, but is keen to see it in a couple of weeks time.  I'm waiting for him to set a demo. Note that as they're Stirling based, it might be in person.  28 Feb - Al is interested in seeing it, but wait a couple of weeks.  Will be a Teams call.  26 Mar - emailed - told him about mAint inspect.  He responded - demo is next week, Wednesday 11am.  03 April - I presented to both Al and Dione (business improvement) - they loved it and would like to try mAint out for a couple of weeks.  04 Apr - i have given them a proposal and a presentation.  09 April - Dione onboarded.  14 April - Nick chased, 23 April - Moray Chased.  For now, this initiative will be in the backlog. As soon as we make progress on the current projects, I will get in touch. Thank you!  06 May - messaged stefan Hendren re:  All Energy.  01 Oct - chased - mentioned 70% &amp; SSoW's.  05 Dec - Dione - To be fully transparent, I don’t believe we’ll have the capacity this year to test and dedicate the effort needed to make this happen. However, it remains on our backlog and AI solutions will have a big push next year, and we plan to revisit it when resources allow. Thanks for your understanding!</t>
  </si>
  <si>
    <t>Duncan Martin</t>
  </si>
  <si>
    <t>Kensit</t>
  </si>
  <si>
    <t>Ventus International</t>
  </si>
  <si>
    <t>09 April - bumped into Duncan yesterday - he seemed interested in Kensit.  Ive messaged him (LI) to see about setting up a demo.  25 April - chased.  25 April - Duncan would like to be able to 1/ list every wind developer, 2/ scrape and report every time a job is advertised either direct or on a job board, 3/ report on the secured leases for wind projects.  He likes the newsletter functionality, would need 3x images in each one.  24 Sept - chased Duncan.  Had a meeting with him - he's not so sure about Knsit, but will offer the mAint tests to a potential retained search client (Xodus).  Opportunity - they spend lots of nmoney on stupid training courses (like one from Kallidus) as part of their ISO accreditation - theyre childish and expensive.  He has to do the driving module even though he doesnt have a car, because otherwise its considered "80% complete" adn DNV dont like that when they audit.</t>
  </si>
  <si>
    <t>Ben Lumley</t>
  </si>
  <si>
    <t>Director of Asset Integrity</t>
  </si>
  <si>
    <t>Applus</t>
  </si>
  <si>
    <t>Ben got in touch via LinkedIn, and asked for info - I've sent it through to him.  15 jan - sent him a LI message.  16 jan.  Demo tomorrow.  17 Jan - Ben loved the demo, wants a free trial. Meeting on Wednesday to get them onboarded, and for Nick to meet with their IT team to dicsuss whatever their concerns may be.  Very interested in the multi-doc, tendering, etc future of mAint.  They have 18k employees on linkedin.  they were recently bought by private equity, are very intersted in using AI to improve efficiency in their business.  29 Jan -i called Ben - he was positive but is just very busy,.  he apologised for not having responded to my email.  Follow up in a couple of weeks.  03 Mar - chased.  13 Mar - tried calling him, no response.  30 Oct - ben has moved company a couple of times, is now based in the UAE.  I've messaged about ADIPEC.</t>
  </si>
  <si>
    <t>DASA</t>
  </si>
  <si>
    <t>E - Proposal Required</t>
  </si>
  <si>
    <t>none</t>
  </si>
  <si>
    <t>https://www.gov.uk/government/publications/market-exploration-modelling-and-monitoring-conflict-wounds/market-exploration-document-modelling-and-monitoring-conflict-wounds.  Note that the application has no value - they'll be in touch if it's of interest.</t>
  </si>
  <si>
    <t>Keith Lonsdale</t>
  </si>
  <si>
    <t>Senior Naval Architect</t>
  </si>
  <si>
    <t>ABL Group</t>
  </si>
  <si>
    <t xml:space="preserve"> he was interested in mAint, also in the scan doc conversion…
Will take to his management and come back. The company had issues in the past with data security so he felt there would be push back but loved the solution
 </t>
  </si>
  <si>
    <t>, Neil McKinnon</t>
  </si>
  <si>
    <t>EVP</t>
  </si>
  <si>
    <t>Claxton / Acteon</t>
  </si>
  <si>
    <t>liked it - but wary about our ability to support it and grow.</t>
  </si>
  <si>
    <t>they are having a group meeting to discuss such things in Norwich next week - I've asked to present.  The opportunity will come, butwill set up meeting in a couple of weeks.  Theu use copilot in their business, so the IMS stuff is less useful for them.  Technical stuff is of interest, as is using it to interrogate their datalake.  They're wary that we have a tiny dev team.  email them 1st May saying we've got 4 onboard.  06 November - met Sam at ADIPEC - he's interested in mAint for competency.  20 Nov - they were interested in asset management, competency, safety - have emailed a follow up.  09 Dec - chased.</t>
  </si>
  <si>
    <t>Andy Martin</t>
  </si>
  <si>
    <t>Ross McHardy, Rohan Angus</t>
  </si>
  <si>
    <t>COO</t>
  </si>
  <si>
    <t>ICR</t>
  </si>
  <si>
    <t>none yet</t>
  </si>
  <si>
    <t>I've asked for a demo.  14 Mar - ive sent a follow up.  12 Nov - met Rohan in Adipec - he's a junior marketing guy but a nice guy.  Have messaged him.</t>
  </si>
  <si>
    <t>Neil Verweij</t>
  </si>
  <si>
    <t>ADIPEC</t>
  </si>
  <si>
    <t>Ops Manager</t>
  </si>
  <si>
    <t>Turbo</t>
  </si>
  <si>
    <t>Germany / UAE</t>
  </si>
  <si>
    <t>12 Nov - met Neil at Adipec, he seemed to think his colleagues in Germany would be interested.  Have emailed.</t>
  </si>
  <si>
    <t>Lee Johnson</t>
  </si>
  <si>
    <t>MD</t>
  </si>
  <si>
    <t>FCS Group</t>
  </si>
  <si>
    <t>12 Nov - met him at Adipec, have emailed, follow up.  12 Nov - Lee responded, is interested, wants to catch up in the new year.</t>
  </si>
  <si>
    <t>Gordon Philip</t>
  </si>
  <si>
    <t>12 Nov - emailed.</t>
  </si>
  <si>
    <t>Praveen Nair</t>
  </si>
  <si>
    <t>Sales Account Manager</t>
  </si>
  <si>
    <t>Ethos Energy</t>
  </si>
  <si>
    <t>§</t>
  </si>
  <si>
    <t>12 Nov - met praveen at adipec - he wanted to intro his Director, but they had to return to Edinburgh during the show.  Have emailed and requested an intro.</t>
  </si>
  <si>
    <t>mAInt</t>
  </si>
  <si>
    <t>Fulkrum</t>
  </si>
  <si>
    <t>12 November - I showed Ben the system at ADIPEC, he liked it, have emailed him.</t>
  </si>
  <si>
    <t>Kamal Fayad</t>
  </si>
  <si>
    <t>Corporate Dev</t>
  </si>
  <si>
    <t>Three60</t>
  </si>
  <si>
    <t xml:space="preserve">21 Nov - met at Adipec, </t>
  </si>
  <si>
    <t>Andrew Morris</t>
  </si>
  <si>
    <t>TWMA</t>
  </si>
  <si>
    <t>25 Feb - I messaged Andrew on Linkedin - he's interested.  Have sent him an email (andrew.morris@twma.com).  Meeting 11 March 0900.  12 Mar - Andrew loves it.  He was joined by. Lindsey MacLeod (analyst).  Seemeed shocked at the low cost, particularly that there's no implementation fee.  They recycle drilling cuttings.  they don't have any standardisation of machines, 15-20 types.  was looking into QR codes and manuals but mAint is "way beyond anything i could have dreamed of".   They have been looking at Business Central and Field Services.  They have to present to their innovation committee, are presenting 8 techs.  Interested in tendering module.  Seemed to like DRA's too.  Next demo will be to their larger team.  26 Mar - Andrew cancelled the last demo, they couldnt get the team together - i've chased.  next demo is 16 April.  16 April - demo was well attended (inc by the CEO) and seemed to go well.  Theyve asked for a proposal.  Theyre intersted to know whether their process drawings with flowcharts could be interrogated by Quiz - i've said there's one way to find out, and we can develop if further to meet their needs if required.  22 April - we submitted a cyber questionnaire.  30 April - chased.; their IT manager has been OOO, they've jsut given him the questionnaire.  06 May - chased.  19 May - ive asked if they want to meet on the 27th May.  21 May - chased.  06 June - chased.  19 june - chased.  08 Aug - sent Andrew congrats on the event last night (Sir Chris Hoy).  12 nov - bumped into Andrew in Abu Dhabi - all change there, half the team sacked, re-focussing on the middle east.  i've emailed.  26 Nov - I spoke with Andrew Morris at TWMA this morning.  They have over 500 staff in the UAE, and are moving their HQ there to be closer to ADNOC (their biggest client).
On the 14th January he has a group-wide meeting.  He’s going to bring up mAint and it’s potential to streamline TWMA / get rid of information silo’s.
He’s interested in a CRM; they use Microsoft Dynamics just now, it’s grown arms and legs and isn’t well used.  Required functionality is:
Opportunity tracking 
Company details
Service requirement
Timeline
Stakeholders
Meeting records (voice to text, standardised format)
Once a meeting has taken place, send notifications out
Proposal outline c/w review and approval (right now they use Xite Porter for proposal prep).
We’re meeting him again in 2 weeks time.</t>
  </si>
  <si>
    <t>Darren Taylor, Vaibhav Yetal</t>
  </si>
  <si>
    <t>Sector Lead Renewables</t>
  </si>
  <si>
    <t>Bureau Veritas</t>
  </si>
  <si>
    <t>14 Oct - I met Darren at Floating Wind last week, he loved it.  I've emailed him to get a free demo set up.  16 Oct - Darren's on holiday but is keen to speak.  30 Oct - I've sent a chaser.  27 Jan - I bumped in to him last week, have asked to get a demo going.  03 Mar - LI reqwuest sent/ 13 Mar - tried calling him.  15 sept - emailed him.  12 Nov - met Vaibhav at Adipec, he thought Mr Mark might be interested, have emaield him.</t>
  </si>
  <si>
    <t>Marcello Buccione</t>
  </si>
  <si>
    <t>NRG</t>
  </si>
  <si>
    <t>Italy</t>
  </si>
  <si>
    <t>ENergy</t>
  </si>
  <si>
    <t>12 November - I've emailed Marcello (who I met at ADIPEC).</t>
  </si>
  <si>
    <t>Jamie Dempster</t>
  </si>
  <si>
    <t>Senior Operations Readiness Manager</t>
  </si>
  <si>
    <t>Ocean Winds</t>
  </si>
  <si>
    <t>We have a meeting with Jamie on the 10th.</t>
  </si>
  <si>
    <t>Sam Taylor</t>
  </si>
  <si>
    <t>BDM</t>
  </si>
  <si>
    <t>Ocean Infinity</t>
  </si>
  <si>
    <t>Loved it/</t>
  </si>
  <si>
    <t>Sam has introduced us to his colleagues.  The benefit here is in making offshore personnel more efficient - essential in a 'lean-crewed' environment.  28 Oct - trying to get a demo date set up.  26 Nov - chased.  18 Dec - chased, and special offer provided.  18 Feb - bumped into Sam at subsea expo, he's dead keen on mAint so i've sent an email chasing a demo.</t>
  </si>
  <si>
    <t>james Gregg, Declan Slattery</t>
  </si>
  <si>
    <t>Motive</t>
  </si>
  <si>
    <t>I've messaged Declan.  26 March - emailed again.</t>
  </si>
  <si>
    <t>Stefan Marechal</t>
  </si>
  <si>
    <t>Tendering</t>
  </si>
  <si>
    <t>Commercial Manager Offshore Energy</t>
  </si>
  <si>
    <t>Van Oord</t>
  </si>
  <si>
    <t>Netherlands</t>
  </si>
  <si>
    <t>09 April - I met Stefan in CPH.  He liked mAint but would really like a tendering module.  He was really impressed.  25 April - ive messaged him.  29 April - he asked me to email him, has been talking about our system.</t>
  </si>
  <si>
    <t>Chris Willow</t>
  </si>
  <si>
    <t>AurAi</t>
  </si>
  <si>
    <t>P31</t>
  </si>
  <si>
    <t>Head of Floating Wind</t>
  </si>
  <si>
    <t>RWE</t>
  </si>
  <si>
    <t>15 April - emailed.  He is OOO until the 22nd.  25 April -chased.  28 April - "Thanks for chasing and nice to hear from you. Good also to see you are pushing the envelope with this new venture -  I am very interested to see beyond the hype how AI will actually change the way we work.
I think your idea sounds interesting but my challenge is that I don’t know who to connect you with. I have shared your email with a couple of relevant people but had no response yet. I expect there is probably a few people who this directly affects, but it is tricky to find them.
I will continue to share and will let you know if I find anything. Is this helpful?"</t>
  </si>
  <si>
    <t>Jean-Thomas Cambier</t>
  </si>
  <si>
    <t>L51</t>
  </si>
  <si>
    <t>Moray/CPH</t>
  </si>
  <si>
    <t>Project Manager</t>
  </si>
  <si>
    <t>Parkwind Jera Group</t>
  </si>
  <si>
    <t>Belgium</t>
  </si>
  <si>
    <t>09 April - I met Jean-Thomas in CPH.  He liked the sound of AurAi.  He recomneds we speak with Kristof Verlinden - when we do, be brief.  He is ex-military.  28 April - emailed.  06 May - Emailed.</t>
  </si>
  <si>
    <t>Juan Carlos Nevot Alvarez</t>
  </si>
  <si>
    <t>Lead PM</t>
  </si>
  <si>
    <t>09 April Seemed really interested in mAint and AurAi.  Email him (see photo of his phone).    jcnevot@iberdrola.de.  11 April - I have emailed him.  23 April -chased.  30 April - chased.  30 Oct - chased.</t>
  </si>
  <si>
    <t>Rebecca.mcbain@sse.com</t>
  </si>
  <si>
    <t>C20</t>
  </si>
  <si>
    <t>Moray/Offshore Wind Glasgow</t>
  </si>
  <si>
    <t>Procurement &amp; Commercial</t>
  </si>
  <si>
    <t>SSE</t>
  </si>
  <si>
    <t>14 April - emailed.  12 May - she's not going to be at All-Energy, but ast least she responded.</t>
  </si>
  <si>
    <t>Kutay Yuceturk</t>
  </si>
  <si>
    <t>DNV</t>
  </si>
  <si>
    <t>energy</t>
  </si>
  <si>
    <t>15 May - he'll put us in touch with some wind people.</t>
  </si>
  <si>
    <t>James Rothwell</t>
  </si>
  <si>
    <t>Head of Renewables</t>
  </si>
  <si>
    <t>Denholm</t>
  </si>
  <si>
    <t>31 Mar - I've messaged James about CPH / mAint inspect.  29 May - chased.  30 Oct - chased.</t>
  </si>
  <si>
    <t>Maximiliano Tamola</t>
  </si>
  <si>
    <t>Gulf Keystone</t>
  </si>
  <si>
    <t>04 June - met him but didn’t get a chance to chat.  He lives in Madrid, works in Kurdistan Iraq.  mtamla@gulfkeystone.com</t>
  </si>
  <si>
    <t>Jamie Glover</t>
  </si>
  <si>
    <t>Ecocel</t>
  </si>
  <si>
    <t>15 May - Jamie wants us to go and visit, do a demo.  19 May - ive asked when.  05 June - chased.  09 June - emialed again.  12 Dec - emailed again; he is OOO until next year!</t>
  </si>
  <si>
    <t>Thor Saemundsson</t>
  </si>
  <si>
    <t>Head of WTG Engineering</t>
  </si>
  <si>
    <t>Peak Wind</t>
  </si>
  <si>
    <t>Denmark</t>
  </si>
  <si>
    <t>09 Apr - he's interested in mAint and AurAi - didn’t give him a demo - get in touch nad setup a demo.  tsa@peak-wind.com. 28 April - emailed.  6 Jun - chased.</t>
  </si>
  <si>
    <t>Ryan Henderson</t>
  </si>
  <si>
    <t>mAint API , AurAi</t>
  </si>
  <si>
    <t>David (&amp; Moray before that)</t>
  </si>
  <si>
    <t>Ventus</t>
  </si>
  <si>
    <t>David Hewlett</t>
  </si>
  <si>
    <t>Ireland</t>
  </si>
  <si>
    <t>27 Feb - Ryan Henderson and Ryan Murphy.  They were really impressed.  Their system Elecsys contains manuals - they can see how our system would add value as an API.  They like quiz.  They would be interested in the proposals / tendering module, something which would enable them to produce qualification tables for tendering based on their principles.  There are complimentary opportunities.  We need another session - we hardly touched on AurAi.  Their system is developed by a company in Belfast which has 12 devs.  Ventus are their biggest client.  Ventus is looking to hire a couple of devs jsut now.  They didnt seem interested in us doing dev work for them.  06 May - i've emailed to find out if they are at All-Energy.  10 Jun - they're at GOW next week but we're not.  have chased.</t>
  </si>
  <si>
    <t>Robert Dalziel</t>
  </si>
  <si>
    <t>Managing Director</t>
  </si>
  <si>
    <t>Interocean</t>
  </si>
  <si>
    <t>Ian McGilvarry gave me his details and suggested I should get in touch.  15 Jan - sent him a whatsapp.   18 Mar - ive sent him a LI invite.  26 Mar - sent him a message.</t>
  </si>
  <si>
    <t>Amy Musson</t>
  </si>
  <si>
    <t>H20</t>
  </si>
  <si>
    <t>Procurement</t>
  </si>
  <si>
    <t>EDF</t>
  </si>
  <si>
    <t>23 jan - I met Amy at offshore wind in Glasgow, and she has given me her mobile number (07775 040663).  Don’t have her EDF email.  I've messaged her on LI.  18 June - she accepted my message.  Ive messaged bac… but don’t think she uses Linkedin.</t>
  </si>
  <si>
    <t>Jessica Pacifico</t>
  </si>
  <si>
    <t>mAint Secure and Kensit</t>
  </si>
  <si>
    <t>Wendy, Fugro</t>
  </si>
  <si>
    <t>IP Director</t>
  </si>
  <si>
    <t>Fugro</t>
  </si>
  <si>
    <t>16 May - Wendy put us in touch with Jessica, Nick had a meeting &amp; demo today.  She loved mAint Secure, and Kensit.  She's looking to improve impact of legal teams and future proof performance for the foreseeable future.   12 She doesn’t want to hand over data, likes concept of a-la-carte dev for Fugro.  19 May - chased.  09 Jun - chased.  12 june - she's responded - will play with it when her schedule allows.</t>
  </si>
  <si>
    <t>Regis Dowd, PHD, Jeff Brewer</t>
  </si>
  <si>
    <t>CDR, Office of Naval Research</t>
  </si>
  <si>
    <t>United States Navy USN</t>
  </si>
  <si>
    <t>Moray, Henry</t>
  </si>
  <si>
    <t>05 Feb - we are setting up a demo for Regis, Edinburgh (possibly at Nile), 20 Feb.  03 Mar - Jeff sent us a generic email, I responded.20 Mar - we're demoing to their 11x AI specialists.  20 Mar -the demo seemed to go well, focus was on 'human factors', but they don't currently have a call open so it seems that things wont progress much.   30/4 - chased.  told them about mAintParse.  29 May - chased.</t>
  </si>
  <si>
    <t>Anna Obarska</t>
  </si>
  <si>
    <t>Digitalisation Manager</t>
  </si>
  <si>
    <t>Met Group</t>
  </si>
  <si>
    <t>Poland</t>
  </si>
  <si>
    <t>Iain Scott, Calum McGill</t>
  </si>
  <si>
    <t>Manager of Renewable Energy</t>
  </si>
  <si>
    <t>Veolia</t>
  </si>
  <si>
    <t>14 May - Iain (Rories mate) introduced us to Calum.  Theyre interested in mAint and mAint inspect - setup a demo.  They might be interested in white labelling it for their customers.  21 May - emailed.</t>
  </si>
  <si>
    <t>Niyati Dave, Sarah Ballantyne</t>
  </si>
  <si>
    <t>Innovation PM</t>
  </si>
  <si>
    <t>SGN</t>
  </si>
  <si>
    <t>15 May - email her Niyati.Dave@sgn.co.uk. She was really nice. Seemed helpful, will put us in touch with the right person. 19 May - chased.  6 june - chased.  19 June - messaged Tom Jackson.</t>
  </si>
  <si>
    <t>Nick / Angus Bowie</t>
  </si>
  <si>
    <t>Moray/Subsea Expo</t>
  </si>
  <si>
    <t>Stats Group</t>
  </si>
  <si>
    <t>Pipeline</t>
  </si>
  <si>
    <t>We met BDM Nick McKay at subsea Expo - he recommened we speak with Angus Bowie, CTO (now lives in Abu Dhabi).  Angus.bowie@statsgroup.com.   20 feb - emailed.  21 Feb - hes interested, ive sent him a deck and asked for a demo.  26 Feb - hes interested but is taking a few weeks off - contact again in April.  03 April - messaged him.  14 April - chased.  Meeting scheduled 19 April. 15 Apr - Angus didnt turn up for the meeting, ive chased him.  2 May - demo went OK, contact Steven Byers.  Stevenbyers@stats-group.com.  04 May - setting the demo up with Steven for later this week.  15 May - we demo;d to them on the 15th.  I've emailed to see if there's any feedback.  10 June - chased.</t>
  </si>
  <si>
    <t>Martin Suttie, Steven Brown, Phil Cameron</t>
  </si>
  <si>
    <t>1st Integrated</t>
  </si>
  <si>
    <t>Offshore</t>
  </si>
  <si>
    <t>14 Mar - dropped Martin a note on LI.  26 Mar - followed up; he responded so I've emailed him.  Demo scheduled 10 april.  10 April - he really liked it.  Wants a demo with his team.  I've said I'll give him a bunch of credits for him to try Kensit, and he has the link to the V8 ROV manual on the portal to play with.  He really likes the idea of the DRA with dashboard about the risks.  THeyve just brought in PowerBi for their sales stuff &amp; finds it really useful.  They have 20k rental items.  23 April - chased.  30 April - chased.  I am trying to avoid you having to do it twice more but the potential uses are probably slightly different.  19 May - chased, told him about mAInt Inspect.
Let me give the guys another chase and if not I will just get First Integrated to have the demo and we might leave FMS behind.  06 May - Nick and I demo'd to Steven and Phil.  they loved it - especially the competence part, but manuals are useful and inspections too.  Steven liked it all.  we've said the cost is £1 to £1.5 per user per day but havent given them a quote.  19 June - have chased Steven and Phil.</t>
  </si>
  <si>
    <t>Bjorn Oygarden</t>
  </si>
  <si>
    <t>AurAi, mAint</t>
  </si>
  <si>
    <t>Manager Engineering Interface Quality and Risk Renewables</t>
  </si>
  <si>
    <t>Equinor</t>
  </si>
  <si>
    <t>Norway</t>
  </si>
  <si>
    <t>09 April - met him in CPH, he really liked mAint and interested in AurAi.  boy@equinor.com.   25 April - I've emailed Bjorn.  30 April - chased.  19 May - chased.  Next time, phone him.  09 Jun -last time Bjorn put us in touch with colleagues Kamala &amp; Knut - i've chased them.  16 Jun - Let me take this back to the team to discuss how to assess this and who to involve. Interesting topic for sure, but challenging to navigate among all the offered solutions.  July is usually more or less lost to summer holidays in Norway, so we probably won’t get back to you until earliest August.</t>
  </si>
  <si>
    <t>Winder Power</t>
  </si>
  <si>
    <t>CFO</t>
  </si>
  <si>
    <t>15 May - he seemed interested - setup a demo.  They don’t do much servicing but using it in goods in and manufgacturing would be beneficial.</t>
  </si>
  <si>
    <t>(Chris Jackson), Adam Thom</t>
  </si>
  <si>
    <t>maint</t>
  </si>
  <si>
    <t>Unknown</t>
  </si>
  <si>
    <t>Muirhall Energy</t>
  </si>
  <si>
    <t>14 May - met with Adam Thom, he thought chris jackson would be interested.  CJ@muirhallenergy.co.uk. 06 June - emailed. N 30 Oct - chased.  CJ no longer works at Muirhall.</t>
  </si>
  <si>
    <t>Jose Miguel Mesa</t>
  </si>
  <si>
    <t>Business Process Excellence &amp; Communications Director</t>
  </si>
  <si>
    <t>09 April - I met Jose Miguel at Wind Europe in CPH.  He would be interested in Kensit Cortex (risk - per Sellafield) as well as AurAi.  Josemiguel.mesa@oceanwinds.com. +34 637 247 768. Madrid.  25 April - emailed.</t>
  </si>
  <si>
    <t>Alberto Barcia Gonzalez</t>
  </si>
  <si>
    <t>Ingeteam</t>
  </si>
  <si>
    <t>09 April - met with Alberto in CPH.  Setup a demo of mAint and discuss AurAi.  06 May - emailed.  19 May - asked for a demo.</t>
  </si>
  <si>
    <t>Rolf De Vries</t>
  </si>
  <si>
    <t>OEG Group</t>
  </si>
  <si>
    <t>19 Feb - i demod to Rolf, he didn’t really like mAint, worried about the background training.  He is interested in the inspection module when it comes though.  I didn’t (couldn’t) show him Kensit.  19 May - messaged him about Inspect.</t>
  </si>
  <si>
    <t>Shaun Lewis, Kevin Stewart</t>
  </si>
  <si>
    <t>Moray/Share Fair</t>
  </si>
  <si>
    <t>VP Upstream</t>
  </si>
  <si>
    <t>Wood</t>
  </si>
  <si>
    <t>20 Feb - met with Shaun yesterday at the Share Fair, we had a quick chat about AI.  26 Mar - chased.  28 Mar - Shaun put us in touch with Kevin Stewart, we're setting up a demo.  14 Apr - chased.  28 May - chased.  25 June - chased.</t>
  </si>
  <si>
    <t>Colin Cameron, Oliver Karlsen</t>
  </si>
  <si>
    <t>VP Survey</t>
  </si>
  <si>
    <t>DOF Subsea</t>
  </si>
  <si>
    <t>likes the idea, but DOF are terrified of AI and security breaches.  Happy to put on a show and tell for us within DOF.</t>
  </si>
  <si>
    <t>I've asked for a demo.  27 Aug - we demo'd It ti Colin, Aslak (crewing) and Gyrid.  They liked it.  Colin &amp; gyrid will speak to identify next steps.  23 Sept - I've sent Colin a message to follow up, and find out who's in Hamburg.  07 Oct - I've followed up with Gyrid &amp; await a response.  30 Oct - have emailed again.  10 Apr - presented Kensit to Oliver Karlesen (MSC student doing research into energy efficiency in OSV's, currently working as market analyst for DOF).  Oliver's a nice guy. really likes Kensit.  i've told him that we'll give him some credits so he can play with it.  25 April - Oliver has 2,500 credits to play with - have offered an onboarding.  06 Aug - Oliver responded, will try to set something up.</t>
  </si>
  <si>
    <t>Matt Byrne</t>
  </si>
  <si>
    <t>Senior Ops Manager</t>
  </si>
  <si>
    <t>Can Group</t>
  </si>
  <si>
    <t>21 March - met at the Share Fair - have emailed him - he thought Chris Pless might be interested.  Matt.byrne@cangroup.net.  Response - introduced Chris. He's OOO until the 24 March. 19 May - chased.</t>
  </si>
  <si>
    <t>Scott Roy</t>
  </si>
  <si>
    <t>UK Country Manager</t>
  </si>
  <si>
    <t>Archer</t>
  </si>
  <si>
    <t>Eric Doyle</t>
  </si>
  <si>
    <t>07 Mar - Eric mentioned us to Scott, they're apparently very interested in a chat, which Eric has begun via LinkedIN.  Ive told Eric he'll get 10% commission.  13 Mar - chased.  19 May - chased.</t>
  </si>
  <si>
    <t>Helen West</t>
  </si>
  <si>
    <t>mAint, Tender</t>
  </si>
  <si>
    <t>Moray/Floating Wind Aberdeen</t>
  </si>
  <si>
    <t xml:space="preserve">Global Director - Marine Asset Integrity </t>
  </si>
  <si>
    <t>1 Oct - "Good to meet you as well and loved the demo. Will I be able to access what we went through last wee from the link below? I wanted to show a couple of people at work to see if there is some interest.  (i've responded with all the info &amp; suggesting a follow up demo).  
 I will get back to you in the next couple of weeks with thoughts / way forward etc.  29 Oct - i've prompted a further conversation via Email.  31 Oct - planning a meeting with Helen w/c 25 Nov.  25 Nov - Helen is more interested in Aquatec stuff than mAint - but will keep trying.  Meeting her for coffee 28 Nov.  28 / 29 Nov - i met Helen for coffee (and gave her a lift home) where she briefed me on who i was meeting on the 29th.  She is going to put us in touch with everyone who could use our services in Fugro.    29 Nov - i demo'd mAint and Kensit to Helen, Olga Nefedova (Global Director Corporate Strategy), Anton Potasev (Corporate Strategy Manager), Louis Burnard (Global Comercial Excellence Director).  Most questions were about our ability to integrate with other softwares especially CRM (answer was yes).  They liked the fact that in dealing with us rather than a massive global company they  would be able to make changes and adjustments because it's our tech.  Olga is very direct.  I'm not sure i answered her question properly.  Louis wanted to know if Kensit could access information in a PDF online - check with the dev team.  Some of the images used in the articles were really old (powerpoints from 2011...).  03 Dec - i've messaged Helen to ask for feedback on the demo.  I've also invited her to participate in the Ocean Tech Sessions.
 04 Dec - Helen is getting surgery on her jaw today, and is off recuperating and at someone's 50th birthday after that.  catch up next week.  06 Dec - wait until the new year.  16 Dec - i tried to call Helen, no response.  15 Jan - im back in touch with Helen, will rekindle the mAint chat.  19 Jan - Helen emailed, she's just been busy, is in Houston this week, will take a look at next steps when she can.  26 Mar - have chased.</t>
  </si>
  <si>
    <t>Steven Harris</t>
  </si>
  <si>
    <t>Integrity HSE</t>
  </si>
  <si>
    <t>Steven was at school with Morays sister.  6 Aug - mesaged him.  12 Aug - sent him the carousel.</t>
  </si>
  <si>
    <t>Rob Phillips</t>
  </si>
  <si>
    <t>Group Sector Director</t>
  </si>
  <si>
    <t>Renew Holdings</t>
  </si>
  <si>
    <t>21 May - we were introduced to Rob by Charlie Goldwyre last week at All-Energy.  They own Full Circlt - plus companies in the rail, nuclear, etc sectors.  I have sent him an email &amp; await response, and a LI request.  04 June - I sent Rob a LinkedIn message.  09 Jun - emailed again.  "Initially I’d like to understand the backup that sits behind the platform.  The key criterion for any system is the ability to back it up and that the platform is obsolescence proof.  Happy to arrange a Teams meeting to find out a bit more and understand the opportunities and limitations of the system."  13 June - a good meeting with Rob - he's got a meeting with his reports at the end ofg the monthe - follow up after that.  15 Aug - emailed Rob woth an update - he's OOO until the 18th.</t>
  </si>
  <si>
    <t>Robert McGillvary</t>
  </si>
  <si>
    <t>R48</t>
  </si>
  <si>
    <t xml:space="preserve">Ops Manager </t>
  </si>
  <si>
    <t>Cirrus</t>
  </si>
  <si>
    <t>26 Sept - I met Rob in the pub with the 1 Stop guys.  He didn’t see the demo but he did overhear it, and knew that the experts who saw it were blown away.  Follow up &amp; set up a demo.  He lives in Armadale.  30 sept - message sent via LI.  21 Oct - still trying to set up a demo.  29 Oct - demo chased (Rob asked to reschedule the last one, his colleague was off ill).  8 nov - have emailed a couple of times, trying to set up for next week.  13 Nov - i've suggested Friday 22nd AM.  26 Nov - last Fridays demo went well - their head of.HR David seemed neutral, but one of their senior techs absoloutely loved it.  Next step is to get a further demo with the Johnston oils team (i've chased).  04 Dec - called (no reply) and emailed.  11 Dec - tried calling him, no. response.  16 Dec - no response.  I've emailed him with the offer.  15 Jan - tried calling him again, no response.  11 Mar - called, no response.  31 March - emailed about mAInt inspect.  19 May - i messaged him to say sorry for not catching up at all-Energy, and letting him know that 2x wind service companies have asked for exclusivity on it.</t>
  </si>
  <si>
    <t>Fernando Perez-Alcalde</t>
  </si>
  <si>
    <t>AIS</t>
  </si>
  <si>
    <t>30 April - messaged him through LI.</t>
  </si>
  <si>
    <t>Robert McInnes</t>
  </si>
  <si>
    <t>Allrig</t>
  </si>
  <si>
    <t>Ian McGilvarry gave me his details and suggested I should get in touch.  15 Jan - sent him a whatsapp. 20 feb - sent him a LI message.  23 Feb - meeting him online, 07 March.  07 Mar - Rob really liked it.  Once we have the inspection module and the DRA's, get in touch for another demo.  19 May - messaged him about the inspection feature.  14 Jul - sent the press release.</t>
  </si>
  <si>
    <t>Blanca de Frutos</t>
  </si>
  <si>
    <t>Marketing Manager</t>
  </si>
  <si>
    <t>Arquimea</t>
  </si>
  <si>
    <t>15 sept - messaged on LI.</t>
  </si>
  <si>
    <t>Wesley Meredith</t>
  </si>
  <si>
    <t>Export Support</t>
  </si>
  <si>
    <t>UK Defence &amp; Security Exports</t>
  </si>
  <si>
    <t>15 Sept - Wesley is a really nice guy.  He intro'd me to 'Chris' who we need to speak with.  Have asked for his details.</t>
  </si>
  <si>
    <t>Jasson Sullivan</t>
  </si>
  <si>
    <t>mAint API</t>
  </si>
  <si>
    <t>Veris Global</t>
  </si>
  <si>
    <t>23 Feb - positive meeting - really likes the system.  These guys make software used by most of the GoM.  Check with Nick for actions (I had to nip off).  10 Mar - Nick has emailed.  31 Mar - Nick Chasing again.  1 May - Nick chased.  02 May - theyre busy, get back to them in Oct.</t>
  </si>
  <si>
    <t>Victor Castenada, Ian McLean</t>
  </si>
  <si>
    <t>Locogen</t>
  </si>
  <si>
    <t>15 May - intrested in Inspect - get in touch.  These guys compete with Green Cat.  24 Sept - I've messaged Ian via LI.</t>
  </si>
  <si>
    <t>Jamie Rowlands</t>
  </si>
  <si>
    <t>Aurai</t>
  </si>
  <si>
    <t>J31</t>
  </si>
  <si>
    <t>David</t>
  </si>
  <si>
    <t>Vattenfall</t>
  </si>
  <si>
    <t xml:space="preserve">30 Jan - Nick and  I met with Jamie today to talk through our proposal which he likes.  We also showed him the mockup site - he likes the flow.  He cant go for it because its 2x his budget.  He might be able to do it with their Innovation Group (run by a guy called Hakon), to get a POC going.    He also wants to involve the tech siupport team.  They've got doc managemet issues generally.  Use the Fluix system which they mostly like - it includes e-signature capabilty.  Wait for him to respond / chase on Tuesday if he hasnt.  31 Jan - he's introduced Hakon - looks like it might be done via Aberden bay / OREC.  06 Feb - chased.  11 Feb - next meeting with them is 25 Feb.  25 Feb - we met Hugh Ridell (OREC), Teo vand er Kammen (OREC), Tomas Jansen and Hakan Brostrom (both VF).  Hakan and Tomas are responsible for new tech intro.  Sounds like we need to lower the VF cost to £20k, but restrict AurAi to only generating AWP's initially, as an MVP.  03 Mar - chased.   10 Mar - catch up with Dave required to look at the docs we'll  be processing / prioritising.  1 Apr - Teo messaged, looking for a proposal from us.  i've asked them to define the docs they would like us to focus on adn tell us the budget.  03 April - i spoke with Teo - he knows that the ball is in their court.  1 May - chased Teo.  14 May - Vattenfall are interesdted in giving us £10-£20k to do... something... im not sure what.  Note that if we're underwwriting development of the software, the cost has to go through the roof.  18 june - 24 Sept - I contacted Jamie on the 16th, no response since then.  </t>
  </si>
  <si>
    <t>Jennifer Fionda</t>
  </si>
  <si>
    <t>Group Operations PM</t>
  </si>
  <si>
    <t>Arnold Clark</t>
  </si>
  <si>
    <t>messaged via LI.</t>
  </si>
  <si>
    <t>Lynda Kilkie</t>
  </si>
  <si>
    <t>Tech Leader</t>
  </si>
  <si>
    <t>William Grant</t>
  </si>
  <si>
    <t>Whisky</t>
  </si>
  <si>
    <t>Paul Henderson</t>
  </si>
  <si>
    <t>Head of Digital;</t>
  </si>
  <si>
    <t>Edrongton</t>
  </si>
  <si>
    <t>David Skelton</t>
  </si>
  <si>
    <t>Associate Director, Learnng &amp; Talent</t>
  </si>
  <si>
    <t>Miller Homes</t>
  </si>
  <si>
    <t>Paola Picca</t>
  </si>
  <si>
    <t>Innovate UK</t>
  </si>
  <si>
    <t>Office for Nuclear Regulation (ONR)</t>
  </si>
  <si>
    <t>Two potential test cases are:
AI in non-destructive testing, for example, interpretation of weld radiographs, which is especially relevant to new build and operating facilities; and
AI for nuclear waste characterisation, including determining waste properties and sorting and segregating intermediate-level waste from low-level waste, which is especially relevant to the nuclear decommissioning and waste management industries.  https://www.onr.org.uk/news/all-news/2025/09/onr-awarded-quarter-of-a-million-pounds-to-develop-ai-capability-in-nuclear-regulation. ONR is keen to receive expressions of interest from organisations working on AI applications that could be suitable for the test case deep dives.
Please get in touch as soon as possible via contact@onr.gov.uk.   30 Sept - we've been invited to participate to an event on the 7th Oct.</t>
  </si>
  <si>
    <t>Craig McKay</t>
  </si>
  <si>
    <t>Nexos Solutions</t>
  </si>
  <si>
    <t>11 Mar - Craig's details were on the website, so I pinged him an email.  26 Mar - ive messaged him via LI again.  19 May - chased.  23 Jul - sent.</t>
  </si>
  <si>
    <t>John "JW" Wariner</t>
  </si>
  <si>
    <t>Director, Consulting Services</t>
  </si>
  <si>
    <t>CGI</t>
  </si>
  <si>
    <t>15 sept - met JW last week at DSEI.  He might be interested but all a bit vague.  He made comment that my shirt collar stiffeners werent much good (scotAi shirt).</t>
  </si>
  <si>
    <t>Graeme Mclaughlin</t>
  </si>
  <si>
    <t>Design Engineering TL, Digital Factory</t>
  </si>
  <si>
    <t>NMIS</t>
  </si>
  <si>
    <t>Public Sector</t>
  </si>
  <si>
    <t>15 May - demo booked for 21 May.  6 week free trial followed by purchase decision.  09 June - the next meeting is 12 June at 3PM.  Nicks given him a 2-month licence for mAint Secure.  16 Sept - Nick has a call with them on Friday - they’ve got the latest version of mAint Secure.  23 Sept - trial still ongoing, have tried to give them latest features, waiting for further feedback.  Previosuly they werent sure how they would use it.  17 Oct - Nick met them yesterday, they have no budget for mAint Secure - trying to get them to adopt a scaled down version, access their business project archive database.  Speaking to them in 2 week.  Mention Kensit.</t>
  </si>
  <si>
    <t>None</t>
  </si>
  <si>
    <t>all</t>
  </si>
  <si>
    <t>Wendy, ScotEnt</t>
  </si>
  <si>
    <t>NTT/Mitsubishi</t>
  </si>
  <si>
    <t>Japan</t>
  </si>
  <si>
    <t>Financial Services</t>
  </si>
  <si>
    <t>06 Oct - have applied to this https://uk.nttdata.com/landings/mufg-open-innovation-programme?sf228944238=1.  theres a pitch in London 13 Nov.</t>
  </si>
  <si>
    <t>Lourenco Horta Correia</t>
  </si>
  <si>
    <t>Innovation Associate</t>
  </si>
  <si>
    <t>15 April - emailed.  25 April - emailed.  15 Sept - emailed.</t>
  </si>
  <si>
    <t>Gudula Braun</t>
  </si>
  <si>
    <t>Director of Digital Project Implimentation</t>
  </si>
  <si>
    <t>Worley</t>
  </si>
  <si>
    <t>gudula.braun@worley.com.  I've sent her a message to her LinkedIn.  29 sept - chased (LI).  17 Oct - she hasn’t responded to any of my messages so I've downgraded her.  Don’t want to be a pest - but I emailed her anyway.</t>
  </si>
  <si>
    <t>Ian Cheyne / Kenny Delaney / Bill Urquhart / Jon Sim / Graeme Watt / James Geddes / Leighton Willox</t>
  </si>
  <si>
    <t>Global Operations Director</t>
  </si>
  <si>
    <t>Score</t>
  </si>
  <si>
    <t>Interested</t>
  </si>
  <si>
    <t>I showed the system to Bill on 27 Feb - his response was "wow" but their Vital system is more of a science, has had many years of investment in its knowledge - he thinks it's well ahead of the content contained within mAInt (albeit Vital takes a team 6-10 weeks to make, and mAInt is cheap &amp; instant).  I'll follow up in a couple of days.  I showed Ian Cheyne - he was amazed &amp; wants it presented to Nick and Ian Davidson.  22 April - i've chased Ian; he advises that he's left it with Nick Dunn (CEO) but will chase him.  06 May - i've emailed him with an update on the new functions.  1 July - last week i emailed Ian and Jon Sim - Jon emailed back saying they wouldnt look at it until next year.  10 Feb - Ian C advises that Jon is the right guy.  25 April - spoke with Bill Urquart - the CTO has a budget of £7Million and is under pressure to deliver, he has a big team working for him.  I mentioned that CVS had won work on the basis of having mAint, and Enermech had recently adopted it - trying to get some FOMO.  i've asked Nick to chase Jon.  21 Jul - sent the press release to Watty at Score via LinkedIn - he's interested to find out more.  15 Sept - I messaged Graeme a load of times, came to nothing.  I bumped into James Geddes at DSEI.  Marine is now doing £25 Million. He's interested to see the software, have emailed him.  17 Sept - meeting is 19 Sept.  24 Sept - we met with James and Graeme Watt on Friday.  Theyre doing lots of work to remove paper from within Score, focussing on Microsoft 365 and PowerBI.  They're not really interested in the Smart Manuals functionality, but are interested in Inspect.  James told me he'd discuss with colelagues and get back in touch.  I've prompted him today via Email.  24 Sept - James Geddes - "As you know, we already have a number of digital integration projects underway. I don’t expect much movement in 2025, but as the QA card is developed in 2026, I believe there could be a real opportunity.
If you’re happy, we’ll leave things as they are for now and reach out early next year to review where we are on our journey."  1 Dec - i've emailed Leighton about the safety cards.</t>
  </si>
  <si>
    <t>L59</t>
  </si>
  <si>
    <t>Black and Veatch</t>
  </si>
  <si>
    <t>H2 EPC</t>
  </si>
  <si>
    <t>Eswaran Kumarayan</t>
  </si>
  <si>
    <t>BU Manager</t>
  </si>
  <si>
    <t>Plenum Engineering &amp; Maintenanc</t>
  </si>
  <si>
    <t>12 nov - met at ADIEPC, have emailed.  Rotating machinery maintenance.</t>
  </si>
  <si>
    <t>Steve Gray</t>
  </si>
  <si>
    <t>Ventex Studio</t>
  </si>
  <si>
    <t>19 Feb - next time we're in Aberdeen, we're to get in touch and give him a demo.</t>
  </si>
  <si>
    <t>Mark Vorenkamp</t>
  </si>
  <si>
    <t>Chairman</t>
  </si>
  <si>
    <t>CaimanSoft</t>
  </si>
  <si>
    <t>big opportunities in the EV repair sector where independent mechanics need assistance even though they have had basic e-power training.  30 Aug - following a demo to the Caiman guys, Mark called  today.  They like it and see how it could add massive value to Caiman.  We're meeting next week to discuss how we should proceed.  I've told them that there'll be a fee to integrate it, then we expect a revenue share.  28 Nov - oi messaged Mark to tell him about STR.  05 Dec - Stewart tells us that they've been busy with major feature roll-out, and will start the API integration work now.  17 jan - tried to call Mark.  28 Feb - spoke to Danny - the STR demo went OK, they were able to demo the mAint plugin.  Plugin still needs some work.</t>
  </si>
  <si>
    <t>Sven Leman</t>
  </si>
  <si>
    <t>mAint Prism</t>
  </si>
  <si>
    <t>Zetica</t>
  </si>
  <si>
    <t>15 May - might be interested in using mAint to look at old geotech reports.</t>
  </si>
  <si>
    <t>Doug Middleton</t>
  </si>
  <si>
    <t>Revional VP</t>
  </si>
  <si>
    <t>ROVOP</t>
  </si>
  <si>
    <t>David Sim</t>
  </si>
  <si>
    <t>Online Valves</t>
  </si>
  <si>
    <t>Robert Murdoch</t>
  </si>
  <si>
    <t>EXS</t>
  </si>
  <si>
    <t>Fantastic idea.</t>
  </si>
  <si>
    <t>Ka Henney-Kant</t>
  </si>
  <si>
    <t>Westerton</t>
  </si>
  <si>
    <t>interested</t>
  </si>
  <si>
    <t>Jason Hewlett</t>
  </si>
  <si>
    <t>Shelf Subsea</t>
  </si>
  <si>
    <t>Singapore</t>
  </si>
  <si>
    <t>set up a meeting.</t>
  </si>
  <si>
    <t>Ben Hooker</t>
  </si>
  <si>
    <t>Director Global BD</t>
  </si>
  <si>
    <t>Oceaneering</t>
  </si>
  <si>
    <t>wants to intro us to some other decision makers in Oceaneering.</t>
  </si>
  <si>
    <t>Melanie Sheehan</t>
  </si>
  <si>
    <t>Head of HR</t>
  </si>
  <si>
    <t>GeoQuip</t>
  </si>
  <si>
    <t>Geotechnical</t>
  </si>
  <si>
    <t>Craig Fenwick</t>
  </si>
  <si>
    <t>Head of Asset Integrity</t>
  </si>
  <si>
    <t>Atle Gran</t>
  </si>
  <si>
    <t>Senior Sales Manager</t>
  </si>
  <si>
    <t>Kongsberg</t>
  </si>
  <si>
    <t>set up a meeting.  20 Mar - I've sent him a message.</t>
  </si>
  <si>
    <t>Andy Jessiman</t>
  </si>
  <si>
    <t>Welltec</t>
  </si>
  <si>
    <t>Ben Hewitt</t>
  </si>
  <si>
    <t>Product Manager - APM &amp; Digital Twin</t>
  </si>
  <si>
    <t>SLB</t>
  </si>
  <si>
    <t>Colin Smith suggested I get in touch with him so I;ve sent an Inmail.</t>
  </si>
  <si>
    <t>David Craig Hutchinson</t>
  </si>
  <si>
    <t>Semco</t>
  </si>
  <si>
    <t>none yet.</t>
  </si>
  <si>
    <t>Gary Thomson</t>
  </si>
  <si>
    <t>IKM</t>
  </si>
  <si>
    <t>Beth Anderson</t>
  </si>
  <si>
    <t>developer</t>
  </si>
  <si>
    <t>ZynQ360</t>
  </si>
  <si>
    <t>Digital</t>
  </si>
  <si>
    <t>interested in integrating it in her digitral twins.</t>
  </si>
  <si>
    <t>Alan Frizelle / Rob Webb</t>
  </si>
  <si>
    <t>Sales Engineer / Director of Service</t>
  </si>
  <si>
    <t>Nordex</t>
  </si>
  <si>
    <t>Liked it - worth following up</t>
  </si>
  <si>
    <t>All energy</t>
  </si>
  <si>
    <t>Jonathan Brooksbank</t>
  </si>
  <si>
    <t>Brooksbank Valves</t>
  </si>
  <si>
    <t>I called and left a message with reception (and again on 1st May)..  03 May - Brooksbank have sold their capacity for the next 5 years.  They’ve set up in India and Australia, mostly on the back of the Score Marine work.  He's going to get a demo in place with his team, and in the meantime has asked for the website link.  20 may - i've whatsApped him.</t>
  </si>
  <si>
    <t>Mac Stevenson</t>
  </si>
  <si>
    <t>Global Aftermarket Business Manager</t>
  </si>
  <si>
    <t>Rotork</t>
  </si>
  <si>
    <t>Positive</t>
  </si>
  <si>
    <t>Hi Moray, Signed up with no issues and uploaded a non Rotork PDF. Asked some questions that were not mentioned in the PDF but it did come back and say that and gave me an alternative view. When I asked questions that were mentioned in the PDF it articulated the answers which is a positive. This stands out from the PDF upload side and seems to give you a better understanding of the info presented when asking questions which is a plus. Would think how you target the selling of this service will be key but anything AI is good to get into just now. You have a good foundation to create more services in this which is a great start 👍 very best of luck with it and keep me posted on new content and innovations....... Hi Moray, I would think voice activation would be a good addition, kind of like sky when looking for a TV show but being Scottish it only works when I take my Fife accent out 😂. Reducing the text to key points but still getting the message across is something really useful for marketing people. We know they tend to over text so this could be a useful tool for them. Also CV creation from a PDF file.  18 may - i've messaged Mac again to set up a demo.  28 May - i've texted Mac.</t>
  </si>
  <si>
    <t>Alistair Coutts</t>
  </si>
  <si>
    <t>Project Specialist</t>
  </si>
  <si>
    <t>RTS</t>
  </si>
  <si>
    <t>set up a meeting.  He has forwarded to a broad team who will attend.  20 May - I've followed up.  4 june - ive followed up.</t>
  </si>
  <si>
    <t>Stuart Gardiner</t>
  </si>
  <si>
    <t>J50</t>
  </si>
  <si>
    <t>Global Ops Director</t>
  </si>
  <si>
    <t>Hydrasun</t>
  </si>
  <si>
    <t>I've sent a linkedIn request.</t>
  </si>
  <si>
    <t>Grahan McKendry</t>
  </si>
  <si>
    <t>Comms</t>
  </si>
  <si>
    <t>3x1 / Ossian</t>
  </si>
  <si>
    <t>mAint for community engagement - likes it.</t>
  </si>
  <si>
    <t>Martin Kerth</t>
  </si>
  <si>
    <t>Product Manager Offshore Cranes</t>
  </si>
  <si>
    <t>Liebherr</t>
  </si>
  <si>
    <t>Uk</t>
  </si>
  <si>
    <t>liked it.</t>
  </si>
  <si>
    <t>set up a demo.</t>
  </si>
  <si>
    <t>Jonathan Hargreaves</t>
  </si>
  <si>
    <t>GM</t>
  </si>
  <si>
    <t>Dyna-Flo</t>
  </si>
  <si>
    <t>nothing yet</t>
  </si>
  <si>
    <t>I've asked for a demo.</t>
  </si>
  <si>
    <t>Scott Glendinning</t>
  </si>
  <si>
    <t>TAQA</t>
  </si>
  <si>
    <t>I've messaged him.</t>
  </si>
  <si>
    <t>Victor Pippia</t>
  </si>
  <si>
    <t>Process Eng</t>
  </si>
  <si>
    <t>Dubai Petroleum</t>
  </si>
  <si>
    <t>Steve Robb</t>
  </si>
  <si>
    <t>Ops Director</t>
  </si>
  <si>
    <t>Hunting</t>
  </si>
  <si>
    <t>I've sent an email.</t>
  </si>
  <si>
    <t>Jonas Guimaraes</t>
  </si>
  <si>
    <t>Warranty Coordinator</t>
  </si>
  <si>
    <t>Schuler</t>
  </si>
  <si>
    <t>Loves it</t>
  </si>
  <si>
    <t>present to VP, then formal quote.  Offer demo.  Action - let them know once image recog is ready - they'll trial it then will purchase it after.  May be interested in mAint secure and mAint Secure Edge.  Revenue share opportunity?  11 Sept - Nick action to tell Schuler about Tesla.</t>
  </si>
  <si>
    <t>TBC</t>
  </si>
  <si>
    <t>W3G</t>
  </si>
  <si>
    <t xml:space="preserve">Andy </t>
  </si>
  <si>
    <t>Andy will introduce us.</t>
  </si>
  <si>
    <t>James Barry</t>
  </si>
  <si>
    <t>Renewable Parts</t>
  </si>
  <si>
    <t>Philippe Kavafyan</t>
  </si>
  <si>
    <t>Venterra</t>
  </si>
  <si>
    <t>I mentioned it to Philippe in Manchester, and have emailed him.  23 Sept - Philippe is movign on from Venterra.</t>
  </si>
  <si>
    <t>Ritchie Barron</t>
  </si>
  <si>
    <t>Significant Projects Manager</t>
  </si>
  <si>
    <t>Safelift Offshore</t>
  </si>
  <si>
    <t>26 Sept - he was blown away by the demo in Hamburg, but his boss Stevie (who didn’t see the demo) seems skeptial.  11 Nov - Stevie seemed more interested at Adipec, have sent him an email.</t>
  </si>
  <si>
    <t>Caspar Blum</t>
  </si>
  <si>
    <t>Windward Offshore</t>
  </si>
  <si>
    <t>Loved it - wants us to present to the broader SeaRenergy group.</t>
  </si>
  <si>
    <t>next step is for Caspar to set up a presentation with the wider SeaRenergy; wait a couple of weeks.  Liked the thought of it integrating with their sharepoint.  Caspar has been upgraded to an Elite licence.  20 May - I've followed up with Caspar.  8 July - we were requested for more info on security; 11 July - we have followed up.  on rh 14th July we gave Tadveen (SeaReneregy IT PM) a presentation, he liked it.  He's asked for a trial pack, and a Starter Pack proposal .  26 Jul - Tadveen advises there's no update yet.   1 Aug - the management team requested a summary of why mAint is different / better than ChatGPT, Copilot, etc.  12 Aug - i've chased. 20 =- email from them - theyre not going ahead at this time, not a priority.  26 Sept - I caught up with Caspar in Hamburg - he intro'd me to the MD - their IT Director is pushing for another software.</t>
  </si>
  <si>
    <t>Alan Gillespie</t>
  </si>
  <si>
    <t>IQ Integrity</t>
  </si>
  <si>
    <t>26 Sept - I met Alan in Hamburg - he has an integrity management software, interested in a plug-in.</t>
  </si>
  <si>
    <t>Robert Lloyd</t>
  </si>
  <si>
    <t>Lead Estimator</t>
  </si>
  <si>
    <t>Global Energy Group</t>
  </si>
  <si>
    <t>14 Oct - I met Robert last week, he loved mAint and Kensit, and has suggested a demo.  I'll follow up to make it happen.  14 Oct - Stuart Owens wants a demo on Friday.</t>
  </si>
  <si>
    <t>Neil Milne</t>
  </si>
  <si>
    <t>Subsea7</t>
  </si>
  <si>
    <t>BZ</t>
  </si>
  <si>
    <t>14 Oct - I've emailed Neil.</t>
  </si>
  <si>
    <t>Steve Fernie</t>
  </si>
  <si>
    <t>Strategic Programme Manager</t>
  </si>
  <si>
    <t>GUH</t>
  </si>
  <si>
    <t>14 oct - I've messaged Steve.  28 Oct - I messaged Lewis Scorgie, who has signed up for Kensit reports.</t>
  </si>
  <si>
    <t>Gordon Ronaldson</t>
  </si>
  <si>
    <t>Langfields</t>
  </si>
  <si>
    <t>04 Nov - I've messaged Gordon.</t>
  </si>
  <si>
    <t>Fraser Graham</t>
  </si>
  <si>
    <t>Market Dev Director</t>
  </si>
  <si>
    <t>Xodus</t>
  </si>
  <si>
    <t>s</t>
  </si>
  <si>
    <t>30 Oct - I showed Fraser the system at Floating in Aberdeen and have followed up.</t>
  </si>
  <si>
    <t>Rob Ross</t>
  </si>
  <si>
    <t>Global Market Manager - Energy</t>
  </si>
  <si>
    <t>14 Oct - I showed Robb mAint at the Floating Wind show, and he was blown away.  He has provided contact details for his colleague Rob Mathieson, who is interested in a potential tendering tool.  30 Oct - I've messaged Rob Mathieson.</t>
  </si>
  <si>
    <t>Stephen Cochrane</t>
  </si>
  <si>
    <t>Subsea Director</t>
  </si>
  <si>
    <t>Rotech</t>
  </si>
  <si>
    <t>"this is pretty cool will share with our engineering team". "could you please email me what you can and highlight the above with that rotech demo image. i will then set something up for you."</t>
  </si>
  <si>
    <t>Arnaud Petit</t>
  </si>
  <si>
    <t>Head of Sales &amp; BD</t>
  </si>
  <si>
    <t>Frictape</t>
  </si>
  <si>
    <t>Finland</t>
  </si>
  <si>
    <t>26 Sept - met with Arnaud in Hamburg.  Seemed impressed.  Theyre an an engineering business focussed on helicopter landing pads for offshore.  30 Oct - they're implementing an ERP.  Ive chased.</t>
  </si>
  <si>
    <t>Neil McIntosh</t>
  </si>
  <si>
    <t>Editor</t>
  </si>
  <si>
    <t>Independent</t>
  </si>
  <si>
    <t>Press</t>
  </si>
  <si>
    <t>set up a meeting. 16 Aug - Neil has resigned.  11 Sept - Neil interested in using Kensit for a newsletter.</t>
  </si>
  <si>
    <t>Rob Bain</t>
  </si>
  <si>
    <t>IRM ENERGY AND TECHNOLOGY SERVICES</t>
  </si>
  <si>
    <t>he's interested in a demo.</t>
  </si>
  <si>
    <t>Norman Johnstone</t>
  </si>
  <si>
    <t>Principal Engineer</t>
  </si>
  <si>
    <t>I've messaged Norman on LI.  He usually responds.  "quite refreshing change. I did read your message, I am probably a bit too new in the door right now, if you want to send me through a bit more of an explanation I can ask a few of the innovation team, my email address is Norman.johnston@sse.com". 22 Nov - emailed.</t>
  </si>
  <si>
    <t>Graham Steele</t>
  </si>
  <si>
    <t>KCI</t>
  </si>
  <si>
    <t>Iain</t>
  </si>
  <si>
    <t>Iain showed him at Adipec.  Moray to follow up. Graham.Steele@kciltd.co.uk</t>
  </si>
  <si>
    <t>Andrew Reid</t>
  </si>
  <si>
    <t>Northstone Advisors</t>
  </si>
  <si>
    <t>DD</t>
  </si>
  <si>
    <t>I've sent Andy a text.  25 Nov - gave Andy a quick demo, he didn’t seem that impressed.  He uses Chat GPT4O, and is wary of it for making things up.</t>
  </si>
  <si>
    <t>Peter Dinsdale</t>
  </si>
  <si>
    <t>Business Lead Electrical Engineering</t>
  </si>
  <si>
    <t>Correll Group</t>
  </si>
  <si>
    <t>met at Manchester, GOW.  10 July - I have followed up.  19 Nov - ive sent a LI invite.</t>
  </si>
  <si>
    <t>Stephen Thompson</t>
  </si>
  <si>
    <t>Commercial Manager</t>
  </si>
  <si>
    <t>GeoXYZ</t>
  </si>
  <si>
    <t>11 Dec - I messaged Stephen, and he's interested in the tender module; set up a call.</t>
  </si>
  <si>
    <t>Liam Moore</t>
  </si>
  <si>
    <t>mAint plugin</t>
  </si>
  <si>
    <t>Floating Wind Aberdeen</t>
  </si>
  <si>
    <t>Senior engineer</t>
  </si>
  <si>
    <t>2H</t>
  </si>
  <si>
    <t>Yes - loves it</t>
  </si>
  <si>
    <t>I've send details, and offered a free trial.  Follow up and find out next steps.  Liam got back in touch - need to set a time for a discovery session.  04 Nov - chased.  11 Dec - chased.  Tried calling, no answer.  Emailed.</t>
  </si>
  <si>
    <t>John Ward</t>
  </si>
  <si>
    <t>Consultant</t>
  </si>
  <si>
    <t>N/A</t>
  </si>
  <si>
    <t>Gavin from GreenCat introduced us.  Hes bought and sold several companies, but seems interested in helping us on a commission basis.  Main interest seems to be using it to interrogate Safety Data Sheets (SDS).  He is also Chairman of Livingston FC.  We proposed using an i-frame Kensit on the club, but they only have 1,000 season ticket holders and they tend to be old.  He thinks bigger clubs might be interested.  30 Nov - John confirmed that he is interested in helping us grow, on a Success Fee basis.  We've not defined the SF yet (but i dont see why it should be any different).  Keep in touch.  13 Dec - ive sent john a chaser.</t>
  </si>
  <si>
    <t>Iain Morrow</t>
  </si>
  <si>
    <t>Open Box models</t>
  </si>
  <si>
    <t>Moray has known Iain for years - they develop thinks like cashflow spreadsheetss for tenders and are interested in collaborating on a tender module.</t>
  </si>
  <si>
    <t>Peter Haughie</t>
  </si>
  <si>
    <t>EPCI Director - BC Wind</t>
  </si>
  <si>
    <t>23 Jan - Magnus Currie recommended I speak with Peter because someone in Madrid would be interested, so ive dropped him a note.</t>
  </si>
  <si>
    <t>Ella Field</t>
  </si>
  <si>
    <t>Scottish Renewables</t>
  </si>
  <si>
    <t>27 Jan - emailed her.  Would give it her free as long as it says 'generated by kensit' and we get free attendance at their main events.</t>
  </si>
  <si>
    <t>Ana Musat</t>
  </si>
  <si>
    <t>Renewable UK</t>
  </si>
  <si>
    <t>27 Jan - ive emailed Ana.  Would give it her free as long as it says 'generated by kensit' and we get free attendance at their main events.</t>
  </si>
  <si>
    <t>Huw Bell</t>
  </si>
  <si>
    <t>Simply Blue</t>
  </si>
  <si>
    <t>31 Jan - I emailed Huw.</t>
  </si>
  <si>
    <t>Damien Zachlod</t>
  </si>
  <si>
    <t>EnBW UK</t>
  </si>
  <si>
    <t>20 Jan - ive emailed and linkedin'd Damien to ask about a meeting to discuss our AI for SSoW's etc….  31 jan - followed up.</t>
  </si>
  <si>
    <t xml:space="preserve">scott, </t>
  </si>
  <si>
    <t>Chevron</t>
  </si>
  <si>
    <t>27 Sept - maint, maint secure, need a slide deck .  Set up POC or a trial with thie facilities team who maintain rigs and refineries safety applications as well as the digital team… need non-confidential deck where company is, about the company, company maturity, tech teams... TRL... where do we sit with our competition.. what is the clear differentiation
get 25-30 minutes to show the solution...
specify the ask
POC? paid or test trial? what we are looking to do. Chevron:
Need to know exactly to go forward:
digital play? - kensit - hows it different from existing products out there
facilities play? - mAint and mAint Secure
Subsurface?
trialling or early investment / series A?? Nothing confidential</t>
  </si>
  <si>
    <t>Brett Laurenson</t>
  </si>
  <si>
    <t>Subsea Sales Manager</t>
  </si>
  <si>
    <t>Oceanscan</t>
  </si>
  <si>
    <t>liked it</t>
  </si>
  <si>
    <t>set up a meeting.  Christian wants to meet next week (c. 15 May).  05 Dec - ive asked Brett to set up a demo.  18 Dec - ive emailed the offer for January.  27 Jan - chased.</t>
  </si>
  <si>
    <t>Cameron Anderson</t>
  </si>
  <si>
    <t>Ops Manager Director</t>
  </si>
  <si>
    <t>Subsea Tooling Services</t>
  </si>
  <si>
    <t>20 Feb - chatted with his colleagues yesterday at Expo, sent him an email.</t>
  </si>
  <si>
    <t>Lars Muck</t>
  </si>
  <si>
    <t>Skyborn Renewables</t>
  </si>
  <si>
    <t>Taiwan</t>
  </si>
  <si>
    <t>20 Jan - I've messaged Lars to find out if AurAi would be of interest.  20 feb. chased.</t>
  </si>
  <si>
    <t>Andrew Shell</t>
  </si>
  <si>
    <t>Shell Engineering</t>
  </si>
  <si>
    <t>manufacturing</t>
  </si>
  <si>
    <t>I met Andrew at Subsea expo. He manufactures hotstabs and the like.  He liked mAint - did ask if he could get some analytics on questions being asked out of it.  20 Feb - sent him a quick email.  Email didn’t work so sent him a text.</t>
  </si>
  <si>
    <t>Mark O'Callaghan</t>
  </si>
  <si>
    <t>Discovery Offshore</t>
  </si>
  <si>
    <t>Shipbroking</t>
  </si>
  <si>
    <t>20 Feb - bumped into Mark at Subsea Expo.  He's set himself up as a self employed broker.  I've said we'll support him with Kensit to help get him set up.</t>
  </si>
  <si>
    <t>Charles Lambert</t>
  </si>
  <si>
    <t>DANA SAC</t>
  </si>
  <si>
    <t>20 feb - met him yesterday at Subsea Expo.  They manufacture hydraulic winches.  Liked mAint, mentioned that analytics would be useful.</t>
  </si>
  <si>
    <t>Cdr Nicholas Almond</t>
  </si>
  <si>
    <t>Commanding Officer - 1710</t>
  </si>
  <si>
    <t>Royal Navy</t>
  </si>
  <si>
    <t xml:space="preserve">Steph, (Dan)
I took a MS Teams call earlier with Henry Jemison, he used to work for me on 825 NAS a few years ago and has since carved himself a promising career in the offshore wind sector.  He was keen to introduce me (after a chat with Joe and Kez) to ScotAi regarding an Ai tool (mAint) which he felt would have helped him when serving as an AET and supervisor – details are in email trail below.  From the limited demonstration, I could definitely see merit in exploring this further – not entirely sure if the regulated aviation tech docs space is the easiest to crack, nor do we necessarily need the full functionality, but we won’t know unless we have a look; my instinct is this could be more suitable for MEs and WEs – hence including @Weil, Daniel Cdr (NAVY-OCTO London Tech Bridge) with a broader RN outlook.  
Steph - I have suggested a follow up visit to 1710 NAS to explore further, noting Henry’s suggestion of including CAMO representatives.  Can you look for some suitable dates for a visit and liaise with Henry direct?  @Weil, Daniel Cdr (NAVY-OCTO London Tech Bridge) – perhaps a visit you’d be interested in joining? It may also be worth liaising with Si Brierley from an RWE perspective if there is any collective merit in progressing for aviation.  Kind Regards.  08 August - email from Steph - 
Thank you for your email, all received and acknowledged. Also thank you for your initial intro into your AI assisted tool with the potential to support FAA and wider RN use cases, we are certainly keen to hear and understand more.
I will get back to you in due course, once we have co-ordinated availability, but looking at calendars at the moment, it will be more likely to be some time in September/October.  23 Sept - i've asked Henryb to follow up with Cdr Almond, and also Stephanie - and also to find out who else we should be speaking with in the MoD.  I've also set Henry up with an EStand mAint account so he can play with the image feature.
 Nick.  18 Oct - Henry has emailed Stpahnie and 2x more Commanders in the RN to try to get something set up.  29 Nov - Stephanie is trying to set us up with a meeting in Portsmouth, probably 9 December.  21 Feb - i spoke to Henry earlier.  he's going to follow up with Cdr Almond and Dan Weil, etc.  Henry isnt expecting any commission out of the USN.  </t>
  </si>
  <si>
    <t>Bruce Torrance</t>
  </si>
  <si>
    <t>Reddie &amp; Grose LLP</t>
  </si>
  <si>
    <t>23 Jan - met Bruce at the offshore wind thing in Glasgow.  They might be interested in Kensit+.  21 feb - emailed him.</t>
  </si>
  <si>
    <t>Chris Wallace</t>
  </si>
  <si>
    <t>Verlume</t>
  </si>
  <si>
    <t>Aberdeen</t>
  </si>
  <si>
    <t>19 Feb - drop him a note to get him set up on Kensit.</t>
  </si>
  <si>
    <t>Alex Wray</t>
  </si>
  <si>
    <t>Kudo Software</t>
  </si>
  <si>
    <t>21 Oct - Alex emailed me - I don’t think I met him, but he may have been passed my details from one of the Natural Power guys (Kudo is a Natural Power spinout).  I've emailed suggesting we discuss the plugin.  28 feb 25 - chased.</t>
  </si>
  <si>
    <t>Gregor Dewar</t>
  </si>
  <si>
    <t>D51</t>
  </si>
  <si>
    <t>Glacier Energy</t>
  </si>
  <si>
    <t>31 Jan - I've emailed Gregor.  06 feb - I have emailed a PPT overview.  03 Mar - chased again.</t>
  </si>
  <si>
    <t>Paul Fletcher</t>
  </si>
  <si>
    <t>Zetechtics</t>
  </si>
  <si>
    <t>28 feb - I showed Fletch mAint at Subsea Expo - he liked it - follow up.</t>
  </si>
  <si>
    <t>David Currie</t>
  </si>
  <si>
    <t>Liked It</t>
  </si>
  <si>
    <t>set up a meeting.  28 Feb 25 - I've sent him an email.</t>
  </si>
  <si>
    <t>Dan Benson</t>
  </si>
  <si>
    <t>Bechtel</t>
  </si>
  <si>
    <t>27 Jan - I saw Dan last week in Glasgow, he's interested in a demo.  03 Mar - chased.</t>
  </si>
  <si>
    <t>Jurick Sjouw</t>
  </si>
  <si>
    <t>(Senior) Tender Manager</t>
  </si>
  <si>
    <t>HSM Offshore Energy</t>
  </si>
  <si>
    <t>26 Sept Jurick is looking for AI to support tendering.  27 Oct - ive messaged Jurick, but im not sure he uses LI messaging.  05 Mar - ive WhatsApped him.  J.Sjouw@hsmoffshoreenergy.com</t>
  </si>
  <si>
    <t>Garron</t>
  </si>
  <si>
    <t>26 Sept - we need to speak with Phil Smith-Tyrell (I've dropped him a note on LI).  05 Mar - ive messaged Garron and Phil Smith - Tyrell.</t>
  </si>
  <si>
    <t>Steve Miller</t>
  </si>
  <si>
    <t>Innovex</t>
  </si>
  <si>
    <t>wants a demo in a couple of weeks time</t>
  </si>
  <si>
    <t>Things are chaotic because they've just closed a merger - get in touch in a couple of weeks, and set up a demo.  02 Oct - ive sent Steve an email to get something set up - follow up.  05 Mar - chased.</t>
  </si>
  <si>
    <t>Ian Stevenson</t>
  </si>
  <si>
    <t>Cyacomb</t>
  </si>
  <si>
    <t>7 feb - we need to prepare a proposal for Ian, to provide development support.  10 feb - submitted.  17 feb - We’ve put together a proposal for IWF based on the feedback we got from a few different routes to getting the technical work we need delivered.  If the IWF get back to us positively then we’ll look at their feedback and the best way to take this forward, and be in touch again!</t>
  </si>
  <si>
    <t>Scott Sheppard</t>
  </si>
  <si>
    <t>Derby University</t>
  </si>
  <si>
    <t>Education</t>
  </si>
  <si>
    <t>Waiting for PO to come through. 23 sept - chased repeatedly, admin delays, approved in principle. 21 Oct - chased for PO.  20 Jan - Nick chasing for update.  09 Mar - Nick and Scott are in touch.</t>
  </si>
  <si>
    <t>Jack Winton</t>
  </si>
  <si>
    <t>VP - technical Services</t>
  </si>
  <si>
    <t>Valaris</t>
  </si>
  <si>
    <t>17 Mar - he's attending the Share Fair.  Drop him a note.</t>
  </si>
  <si>
    <t>Dean Henderson</t>
  </si>
  <si>
    <t>Technical Services Director</t>
  </si>
  <si>
    <t>TotalEnergies</t>
  </si>
  <si>
    <t>Ken Pirie</t>
  </si>
  <si>
    <t>Business Unit Manager Key Accounts</t>
  </si>
  <si>
    <t>Stork</t>
  </si>
  <si>
    <t>Maharai Hoeke</t>
  </si>
  <si>
    <t>PBS</t>
  </si>
  <si>
    <t>DerekMitchell</t>
  </si>
  <si>
    <t>MD - Offshore</t>
  </si>
  <si>
    <t xml:space="preserve">Mark Neilson </t>
  </si>
  <si>
    <t>MRC Global</t>
  </si>
  <si>
    <t>Tim Walker</t>
  </si>
  <si>
    <t>MD - Energy &amp; Industrial</t>
  </si>
  <si>
    <t>KAEFER UK</t>
  </si>
  <si>
    <t>Trevor Woodward</t>
  </si>
  <si>
    <t>Business and Strategy Director</t>
  </si>
  <si>
    <t>Fergus Sweeney</t>
  </si>
  <si>
    <t>Head of Projects and Engineering</t>
  </si>
  <si>
    <t>INEOS Energy</t>
  </si>
  <si>
    <t>17 Mar - is attending Share Fair, drop her a note.</t>
  </si>
  <si>
    <t>Alan Boggess</t>
  </si>
  <si>
    <t>Engineering &amp; Projects Manager</t>
  </si>
  <si>
    <t>Neil Meldrum</t>
  </si>
  <si>
    <t>FourPhase</t>
  </si>
  <si>
    <t>Neil Grant</t>
  </si>
  <si>
    <t>Forsyths</t>
  </si>
  <si>
    <t>Ross Provan</t>
  </si>
  <si>
    <t>Head of Decom</t>
  </si>
  <si>
    <t>Elemental Energies</t>
  </si>
  <si>
    <t>Jim Cooper</t>
  </si>
  <si>
    <t>Technical Development Manager</t>
  </si>
  <si>
    <t>Dron &amp; Dickson</t>
  </si>
  <si>
    <t>Stuart Buist</t>
  </si>
  <si>
    <t>Business Improvement Manager</t>
  </si>
  <si>
    <t>Craig International</t>
  </si>
  <si>
    <t>Isaac Connell</t>
  </si>
  <si>
    <t>EPC Director</t>
  </si>
  <si>
    <t>Copenhagen Offshore Partners</t>
  </si>
  <si>
    <t>Martin Booth</t>
  </si>
  <si>
    <t>Maintenance Superintendent</t>
  </si>
  <si>
    <t>CNOOC</t>
  </si>
  <si>
    <t>Alison Reid</t>
  </si>
  <si>
    <t>Regional Manager - UK</t>
  </si>
  <si>
    <t>ChampionX</t>
  </si>
  <si>
    <t>Senior Operations Manager</t>
  </si>
  <si>
    <t>CAN</t>
  </si>
  <si>
    <t>Craig Revie</t>
  </si>
  <si>
    <t>Head of Specialist Services</t>
  </si>
  <si>
    <t>Asco</t>
  </si>
  <si>
    <t>Emma Cuthbertson</t>
  </si>
  <si>
    <t>Marcoms</t>
  </si>
  <si>
    <t>Nexos</t>
  </si>
  <si>
    <t>19 Mar - I met her - email her at Emma.Cuthbertson@nexos.solutions and she'll put us in touch.</t>
  </si>
  <si>
    <t>Colin Gough</t>
  </si>
  <si>
    <t>Regional Director - Acceleration Initiatives</t>
  </si>
  <si>
    <t>Bentley</t>
  </si>
  <si>
    <t>21 Mar - met at the Share Fair - Bentley are a massive software outfit - have emailed him about a plugin.  Colin.gough@bentley.com</t>
  </si>
  <si>
    <t>Bruce Clements</t>
  </si>
  <si>
    <t>Society of Maritime Industries</t>
  </si>
  <si>
    <t>Maritime</t>
  </si>
  <si>
    <t>24 Mar - Henry put us in touch.  Set up a meeting once he's started his job.</t>
  </si>
  <si>
    <t>David Anderson</t>
  </si>
  <si>
    <t>regional Manager</t>
  </si>
  <si>
    <t>Claxton</t>
  </si>
  <si>
    <t>26 March- I've dropped him a note via LI.</t>
  </si>
  <si>
    <t>Andrew Gray</t>
  </si>
  <si>
    <t>Moray / Wendy</t>
  </si>
  <si>
    <t>Innovation Delivery Manager</t>
  </si>
  <si>
    <t>Nuclear Decomissioning Authority</t>
  </si>
  <si>
    <t>Wendy</t>
  </si>
  <si>
    <t>26 Mar - Wendy is going to put us in touch.</t>
  </si>
  <si>
    <t>Spencer Morrison</t>
  </si>
  <si>
    <t>Ineos Energy</t>
  </si>
  <si>
    <t>11 March - messaged Spencer on LinkedIN.  26 Mar - sent a connection request.</t>
  </si>
  <si>
    <t>David Cameron</t>
  </si>
  <si>
    <t>Unknown, possibly NZTC</t>
  </si>
  <si>
    <t>26 March - David filled out the online form (using his mac email address).  There is a David Cameron at the NZTC, might be the same person.</t>
  </si>
  <si>
    <t>Keiran Good</t>
  </si>
  <si>
    <t>HSBC</t>
  </si>
  <si>
    <t>Finance</t>
  </si>
  <si>
    <t>28 Mar - I've messaged Keiran about Kensit.</t>
  </si>
  <si>
    <t>Curtis Johnson</t>
  </si>
  <si>
    <t>F - NDA in Place</t>
  </si>
  <si>
    <t>Director of Engineering</t>
  </si>
  <si>
    <t>DNOW</t>
  </si>
  <si>
    <t>James Price put us in touch</t>
  </si>
  <si>
    <t>20 Mar 2024 - we met online today.  Next steps are 1/ NDA, 2/ share presentation, 3/discuss how we can help their pain points.  18 Apil - I've followed up again - ostensibly about the flooding in Dubai.  Things chaotic at his end due to flood damage.  30 April - chased.  4 June - chased.  05 Mar - chased, received a 'not known here' response.  Have tried to connect with Bill Hutto, Innovation Manager.  19 March 2025 - have sent Curtis Johnson a message.  26 Mar - chased.</t>
  </si>
  <si>
    <t>Lina Salamanca Torres</t>
  </si>
  <si>
    <t>05 dec - I messaged Lina on LI, she's off for December; contact her again in Jan.</t>
  </si>
  <si>
    <t>Greg Hammond</t>
  </si>
  <si>
    <t>Digital Lead</t>
  </si>
  <si>
    <t>Utec Survey</t>
  </si>
  <si>
    <t>14 October - ive emailed Greg (met him at Floating Wind in Aberdeen).  17 Oct - called him - we're speaking on Monday.  23 Oct - meeting is scheduled for 05 November.  03 Dec- Nick and Moray presented to Greg plus Greg.Hammond@utecsurvey.com &lt;Greg.Hammond@utecsurvey.com&gt;
nick@scotai.tech &lt;nick@scotai.tech&gt; Christopher Hillier &lt;christopher.hillier@utecsurvey.com&gt; Gopi Kumaravelu &lt;gopi.kumaravelu@utecsurvey.com&gt;
Karen Cable &lt;Karen.Cable@utecsurvey.com&gt; Ross Leitch &lt;ross.leitch@utecsurvey.com&gt; Shane Thompson &lt;Shane.Thompson@utecsurvey.com&gt;
Torsten Marten &lt;torsten.marten@utecsurvey.com&gt;.   We have offered to give them mAint Starter Kit and develop the tender module for free for the first year.  This is valid for December only, and i've told him that mAint will escalate next year once multi-document is available.  mAint tender would be developed around their requirements.  11 Dec - called Greg - told him i cant think of another way of giving his business immediate value (access to mAint and Kensit), and then a bespoke tendering tool at no additional cost.  re:  timescale, i mentioned maybe 6 weeks from kickoff (i assumed that Aashima would have multi-doc done over Xmas), but it depends on the definition of phase 1 which we agree together.  We both agreed that getting it right was more important than getting it fast.    Greg needs to consult the person with the purse strings, and hopes to hear back by the 18th.  I've told him we' be happy to do a 'soft launch' meeting where we discuss what phase 1 would look like, and put in place a project plan ahead  of the PO, but PO needs to be with us in December.  15 Dec - they've decided to wait and see how the generic tender module looks rather than have one specifically created for their needs.</t>
  </si>
  <si>
    <t>Boris Swaab</t>
  </si>
  <si>
    <t>IX Renewables</t>
  </si>
  <si>
    <t>09 April - met in CPH, might be interested in mAint and AurAi.</t>
  </si>
  <si>
    <t>Zander McDougall</t>
  </si>
  <si>
    <t>Renewables BM</t>
  </si>
  <si>
    <t>Oil States Industries</t>
  </si>
  <si>
    <t>10 April - I've sent Zander a WhatsApp.</t>
  </si>
  <si>
    <t>Cade Wells</t>
  </si>
  <si>
    <t>Censis</t>
  </si>
  <si>
    <t xml:space="preserve">24 Mar - Wendy Lamin (Scot Ent) put us in touch - will setup a meeting.  Notes from meeting - Censis used to be an accelerator, it ended up focussing on IoT.  Of 18 staff, 5 or 6 are BD.  They are developing products and services.  Especially close with Police Scotland and Scot Gov.  Next step - demo to their broader team.  I've told them that if they bring in sales we will pay them commission. </t>
  </si>
  <si>
    <t>Rob Gallacher</t>
  </si>
  <si>
    <t>Technical Lead - Wind</t>
  </si>
  <si>
    <t>Nadara</t>
  </si>
  <si>
    <t>26 Sept - I met Rob in Wind Energy Hamburg.  He was blown away, esp with the "write a condition report" on concrete.  He lives Glasgow, his office is Edinburgh (but mostly WFH).  This one's important because they're a wind developer / project owner.  8 Oct - I've emailed Rob again.  22 Oct - emailed again.  ***Demo Thurs 31 Oct at 11am***. 31 Oct - Nick and I met with Rob this morning.  His part of Nadara does onshore wind only - theyre treated as a seperate company from the offshore guys.  Opportunities:  1/ Rob will put us in touch with John Morris, Nadara operations.  2/ Rob is interestedin using AI to help define the optimum layout for roads etc.  Right now they use 'QGIS'.  they have a budget of c. £200k/year for GIS consultancy 3/ interested in Agatha, reporting on their energy production in Portugal based on Sharepoint data, 4/interested in Kensit (thinks we should include news articles with sentiment, statements from local councillors, government, etc).  Rob is out on site next week, so it'll be a couple of weeks before we hear back, unless his colleagues get in touch first.  28 feb 24 - chased.  31 Mar - i've messaged Rob about mAint Inspect.</t>
  </si>
  <si>
    <t>Marzena Gudanowicz</t>
  </si>
  <si>
    <t>Category Manager Operation Procurement EU North and Australia</t>
  </si>
  <si>
    <t>09 Apr - she liked sound of AurAi.  Needs to work out who to connect us with.  Marzena.gudanowicz@rwe.com.  14 April - emailed her.</t>
  </si>
  <si>
    <t>Ross Hunter</t>
  </si>
  <si>
    <t>Moray/Wendy</t>
  </si>
  <si>
    <t>Founder</t>
  </si>
  <si>
    <t>Copylab</t>
  </si>
  <si>
    <t>1 Apr - met Ross online (Wendy introduced us) - nice guy, from BofA, now lives Boston, MA.  Marketing for financial services.  His clients are (eg) Fidelity, Blackrock.  His clients are developing their own Ai.  He's winning customers using LI.  Ive told him that we'll give him 1,000 credits to get going. and we'll give him a commission if he introduces us to clients.  He will introduce us to Bill at Draper Labs.  14 Apr - i've chased.</t>
  </si>
  <si>
    <t>F - NDA in place</t>
  </si>
  <si>
    <t>Weir Group</t>
  </si>
  <si>
    <t>I've submitted an enquiry</t>
  </si>
  <si>
    <t>26 Aug 2024 - I submitted an enquiry through their website - it'll probably be ignored…. 15 April - sent an LI thin to their innovation guy - it'll be ignored…</t>
  </si>
  <si>
    <t>Daniela Denizet</t>
  </si>
  <si>
    <t>Invenergy</t>
  </si>
  <si>
    <t>09 April - met her in CPH, she sounded vaguely interested - get in touch.  25 April- messaged on LI.</t>
  </si>
  <si>
    <t>Dr Claus Fridtjof Christensen</t>
  </si>
  <si>
    <t>Senior Chief Specialist Power Transmission</t>
  </si>
  <si>
    <t>Orsted</t>
  </si>
  <si>
    <t>09 April - I met Claus in CPH.  He was interested in mAint and AurAi Wind.  Follow up, ask him to point me in the right direction.  28 April - emailed.</t>
  </si>
  <si>
    <t>Kevin Jones</t>
  </si>
  <si>
    <t>Global Head of Operations</t>
  </si>
  <si>
    <t>09 April - Kevin loved hearing about mAint and is interested in AurAi wind.  He's ex-Vattenfall, used to be Alex Mils's boss.  Didn’t mention Dave.  Get in touch, setup a demo.   11 Apr - sent him an email.  23 April - chased.  30 Apr - chased.</t>
  </si>
  <si>
    <t>Teresa Enriquez De La Fuente</t>
  </si>
  <si>
    <t>Innovation</t>
  </si>
  <si>
    <t>Scottish Power Renewables Iberderola SPR</t>
  </si>
  <si>
    <t>MOray</t>
  </si>
  <si>
    <t>23 Jan - at the Glasgow offshore wind event yesterday, Ian McDonald recommended that I speak with Teresa (tel 07775415355) .  I've emailed her.  27 Jan - I spoke to Teresa - she sounded interested - she pointed out that they are a big company, they may be developing things themselves in this area.   she would like to see a proposal with scope, how the info will be abalysed, how the information is stored, etc.  I've asked for a demo first - and a discussion on their requirements so we can better understand them (going straight to a proposal seems a bit weird).  28 Jan- ive sent her some more details.  10 Feb - ive chased.  03 Mar - i have chased.  07 Mar - she seems grumpy = "as i said, i have forwarded your information internally.  my colleagues will reach out to you if they find it of interest."</t>
  </si>
  <si>
    <t>Pam Wilson</t>
  </si>
  <si>
    <t>Big Partnership</t>
  </si>
  <si>
    <t>PR</t>
  </si>
  <si>
    <t>Met pam at subsea expo nad gave her a demo of Kensit.  She loved it.  Will set up a further demo.  10 Mar - ive SMS'd Pam.  Didn’t hear back from LI connection request.  24 Mar - gave Pam a call - she'd like us to send them something.  No time for a demo.  26 Mar - sent slides.  28 Feb - she's acknowledged receipt, i've asked to give them a demo.  07 april - chased.  17 apr - she's flat out, asked for a rain check for now.</t>
  </si>
  <si>
    <t>Ingeborg Dårflot</t>
  </si>
  <si>
    <t>Moray / LI</t>
  </si>
  <si>
    <t>EVPTech &amp; Project Delivery</t>
  </si>
  <si>
    <t>Statkraft</t>
  </si>
  <si>
    <t>15 April - I've sent her a note on LI - she probably wont respond.</t>
  </si>
  <si>
    <t>Jacob Staflin</t>
  </si>
  <si>
    <t>Eurowind Energy</t>
  </si>
  <si>
    <t>09 April - was given his name in CPH, have sent him a note on LI.  15 Apr - he accepted, have sent him a note.  06 May - have messaged again.</t>
  </si>
  <si>
    <t>Adil Ali</t>
  </si>
  <si>
    <t>15 May - Adil seemed intereested but we've wasted loads of time on them already.  Visit if we have a gap in our schedule.</t>
  </si>
  <si>
    <t>Keith Burns, Stefan Hendren</t>
  </si>
  <si>
    <t>Commercial Director</t>
  </si>
  <si>
    <t>Natural Power</t>
  </si>
  <si>
    <t>26 Sept - he liked the demo, get in touch and set up a further demo.  03 Dec - he didn’t respond to my last email but I've messaged him again re: Aurai.  12 May - we're meeting Stefan Hendren (Inspections TL) at All-Energy.</t>
  </si>
  <si>
    <t>Ellie Christian</t>
  </si>
  <si>
    <t>Clarke Energy</t>
  </si>
  <si>
    <t>15 May - she's the marketing person, and offered to put us in touch with the right people.</t>
  </si>
  <si>
    <t>Keith Duncan</t>
  </si>
  <si>
    <t>Energy and system tech</t>
  </si>
  <si>
    <t>Windf</t>
  </si>
  <si>
    <t>15 May - met at All-energy - cant remember.</t>
  </si>
  <si>
    <t>Neil Harvey</t>
  </si>
  <si>
    <t>Head of PA, Construction, Commissioning &amp; MCE</t>
  </si>
  <si>
    <t>Boston Energy</t>
  </si>
  <si>
    <t>26 Sept - I met Neil's team in Hamburg this week, and gave them a demo of mAint.  They seemed impressed - follow up, and ask to provide another demo.  31 Mar - ive messaged Neil about mAint Inspect.  1 April - he's not going to CPH and he asked if its just for blades.  a reasonable sign.  07 apr - chased.  24 Aprikl - ive asked if they will be at All energy.  He is OOO until 28 April.  19 May - ive emailed him with feedback on All-Energy.  told hom that 2 co's want exclusivity plus one thinks we'll sove 6 of 10 of their problems.  Have asked to demo it to them.</t>
  </si>
  <si>
    <t>Jake Mason</t>
  </si>
  <si>
    <t>RFM</t>
  </si>
  <si>
    <t>15 May - he was luke warm, his boss (co-founder) was objectionable.  If they want it, charge them more.  19 May - ive emailed to make sure they have my contact details.</t>
  </si>
  <si>
    <t>Ian Greer</t>
  </si>
  <si>
    <t>K50</t>
  </si>
  <si>
    <t>Arena Capital</t>
  </si>
  <si>
    <t>24 May - I've sent a SK quote.  10 July I've sent an update on Quiz.  1 Nov - Ian asked to rekindle discussions.  11 Nov - I've responded again asking when suits for a meeting.  20 Nov - ive sent a text.  26 Nov - he wants to meet in person at Earthmill.  18 Dec - i've sent the offer for January.  29 Jan - ive asked him about Kensit; he's suggested meeting next week.  12 May - we're meeting at All-Energy/. 21 May - he cancelled ALl-Energy.  Ive sent him a screenshot of mAint inspect.</t>
  </si>
  <si>
    <t>Louise MacLean</t>
  </si>
  <si>
    <t>Incoming (possibly our ME friend)</t>
  </si>
  <si>
    <t>Rigquip</t>
  </si>
  <si>
    <t>17 Mar - Louise got in touch with Nick, wants a demo,.  18 Mar - we deom;d to day - she liked it, have proposed 7800 for the SK incl. API for their WO system.  26 Mar - chased.  28 Mar - they're interested, and asked for more details on mAInt Inspect.  07 apr - thyere not interested in Inspect.  i've asked for feedback.  25 Apr - chased.  28 April - no further demo needed, they'll be in touch if they need anything.</t>
  </si>
  <si>
    <t>Leonie Borland</t>
  </si>
  <si>
    <t>Vp ESS</t>
  </si>
  <si>
    <t>15 May - using inspect module at goods in would be of interest.  19 May - emailed.  06 june - chased.</t>
  </si>
  <si>
    <t>Graeme Russell</t>
  </si>
  <si>
    <t>Fleet Digitalization</t>
  </si>
  <si>
    <t>Technip Fmc</t>
  </si>
  <si>
    <t>send him the presentation &amp; commercial details; liked the quiz feature; setup call with AI Centre of Excellence.  20 May - I've asked Steve to follow up.  4 jun - ive asked SH to folllow up. 9 july - we have to fill in an extensive IT /data security questionnaire.  16 July - questionnaire returned. 24 Jul - i've chased.  11 Sept - Graeme has sent through a questionnaire - @@@it includes a positive assessment of mAint@@@. 13 Sept - further documents submitted.  19 Sept - we presented to Graeme and his IT analyst  - theyre still looking at our stuff, waiting to hear back from their last questionnaire...  30 Sept - feedback on the questionnaire and our demo requested.  07 Oct - i called Graeme but the door went - will call him back tomorrow.  22 Oct - i tried calling Graeme again - no responbse, so i sent him an email.  He is OOO.  29 Oct- I spoke to Graeme, to chase on response to the Cyber Review, and tell him about the multi-doc capability which is coming, which is going (eventually) to be part of a tendering tool.  He asked me for something in writing, but i've declined - no point giving him anything until we've passed the cyber review they made us fill in.  I've also told him that 'one of the major offshore contractors' is at the point of sponsoring the tendering tool, which is what we need to accelerate its progress.  He thinks his boss would be very interested in it.  07 Nov - i've chased him to see if there's any update on the cyber security review.  13 Nov - after bumping into him at Murrayfield (South Africa), i've messaged to find out what the next steps are.   19 Nov - called Graeme, he tells me that there's no feedback on cyber security yet - its a resource issue at their end.  He will tell us when they hear anything.  I've told him i'll call back in 2 weeks.  16 Dec - emailed him with the December Deal.  12 Feb - i've emailed him again.  There has been a major restructure of vessel organisation and I’m in a different role since November.
No longer in Innovation side as that department is no more.
Now responsible for Digital Solutions and Support for the vessel fleet as part of Asset Integrity team.
I have had to park new initiatives for the moment, until I settle into new role due to change in what I am responsible to manage and support.
I do intend to revisit your solution when time allows as it would likely still fall within my new remit. It wont be until Q3 at earliest though.
I will be in touch when possible to progress this.</t>
  </si>
  <si>
    <t>Paul Gie</t>
  </si>
  <si>
    <t>Tech Bridge</t>
  </si>
  <si>
    <t>Strider</t>
  </si>
  <si>
    <t>Intel</t>
  </si>
  <si>
    <t>25 June - met with Paul online.  They do proper spy-style intel gathering, informing people about supply chains in iran, russia, etc.  Utah-HQ'd, just raised $55M.    Paul was a spy.  Useful message:  don’t chase efficiency with defence.  They need to use up peoples time.  instead say that it takes away the mandraulic part, so that people can focus on doing what theyre their to do according to their skills and clearance.  Paul mentioned the HMGCC event which he may invite us to. Quarterly look at challenges.</t>
  </si>
  <si>
    <t>Andy Cooney</t>
  </si>
  <si>
    <t>referral from FIS360</t>
  </si>
  <si>
    <t>Lakes College</t>
  </si>
  <si>
    <t>Rob Cruickshank</t>
  </si>
  <si>
    <t>28 Mar - Rob put us in touch - he's just started, give him a month to get his feet under the desk.  06 May - cjhased.  09 jun - chased.  It's taking him longer to get his feet under the desk than expected.</t>
  </si>
  <si>
    <t>Guy Adams</t>
  </si>
  <si>
    <t>DG, Airforce</t>
  </si>
  <si>
    <t>Australian Airforce</t>
  </si>
  <si>
    <t>14 Jul - I met Guy in the pub in Bristol last week - email him.</t>
  </si>
  <si>
    <t>Ronnie Smyth</t>
  </si>
  <si>
    <t>Cyber Security Researcher</t>
  </si>
  <si>
    <t>14 Jul - seemed interested to discuss expanding Kensit to be a cyber tool.</t>
  </si>
  <si>
    <t>Peter Van Veen</t>
  </si>
  <si>
    <t>mAint, AurAi</t>
  </si>
  <si>
    <t>Projects Director</t>
  </si>
  <si>
    <t>Fon Energy Services</t>
  </si>
  <si>
    <t>06 Feb - I've messaged Peter to set up a demo.  He's a really good guy, and they're expanding into Scotland.  03 Mar - chased.</t>
  </si>
  <si>
    <t>Alan McKearns</t>
  </si>
  <si>
    <t>1StopWind</t>
  </si>
  <si>
    <t>wind</t>
  </si>
  <si>
    <t>26 Sept - Alan loved the demo.  Follow up.  31 Mar - emailed about mAint Inspect.  21 may - ive sent him a screenshot of mAint inspect.</t>
  </si>
  <si>
    <t>Ryan Ireland</t>
  </si>
  <si>
    <t>NOV</t>
  </si>
  <si>
    <t>18 Jul - I met Ryan in Amsterdam, he thinks it could be great for NOV.  Meeting him next week for a demo.  24 Jul - Gary Hickin has also been invited to join (Director, Customer Support &amp; BD).  The call was fine but they didn’t seem much interested.</t>
  </si>
  <si>
    <t>Diana Grauer</t>
  </si>
  <si>
    <t>DG</t>
  </si>
  <si>
    <t>Fragou Ifigenia</t>
  </si>
  <si>
    <t>Digital Transformation Deputy Director</t>
  </si>
  <si>
    <t>Hellenic Petroleum</t>
  </si>
  <si>
    <t>ifragou@helpe.helleniq.gr. I emailed 23/06 and 25/07, no response.  Dead.</t>
  </si>
  <si>
    <t>Robert Laird</t>
  </si>
  <si>
    <t>NESCol</t>
  </si>
  <si>
    <t>12 Aug - ive messaged Robert to find out if the assessment function would be of interest.</t>
  </si>
  <si>
    <t>Thomas Bak Mathiasen</t>
  </si>
  <si>
    <t>CCO</t>
  </si>
  <si>
    <t>Global Wind Service</t>
  </si>
  <si>
    <t>DK</t>
  </si>
  <si>
    <t>31 Mar - I've messaged Thomas about CPH / mAint inspect.  He responded - things are flat out, messge him again at the end of the month.  17 Sept - ive tried him a few times, never repsonds/</t>
  </si>
  <si>
    <t>Tim Clarke</t>
  </si>
  <si>
    <t>Katoni</t>
  </si>
  <si>
    <t>meeting scheduled for 29 Oct.  He loved it.  " i’ve just given a demo to Tim Clarke at Katoni.  He’s asked me to pass on the following feedback:  “This is superb.   At first i thought it was going to be a simple re-skinning of an Open Ai product, but it is much more important than that.  Truly, technically impressive.  Please pass on my congratulations to the development team, and please do come and see me next time you are in Aberdeen.”  I’ve set Tim up with an Admin account for him to try, and we’ll be speaking with him in the next couple of weeks to bring him on as a client.   06 Nov - i've asked Tim how he's getting on with mAint and Kensit.  His response was that hes not had time, but his BD colleagues are keen on Kensit.  He undertook to look at mAint again the following day.  14 Nov - Tim tried to break mAint, the results were good - he was "generally very impressed" - less so on Quiz (i pointed out that its in beta).  I've asked if it would add value to Katoni... he will need to discuss wider; i've told him i will be back in touch on the 21st November.  03 Dec - ive chased him for feedback.  04 Dec - Tim loves the technology, i've promoted him to Admin in Kensit to enable him to try out SmartSearch.  He's wary that the stuff they're doing with RGU overlaps with what we're doing - i've told him we're not concerned by it.  Have asked him to consider a Starter Kit, and we'd include the tendering module (per UTEC).  He's got a meeting with James Bream (CEO) tomorrow - and will bring it up with him.  11 Dec - i've emailed chasing a response.  13 Dec - i called tim to tell him about the offer - he loves it and will speak with James again.  I've told him we'd need the PO in December.  he was really positive - loves mAint.  19 Dec -"I have an answer, I’m afraid I think we are still a bit early in our change life cycle to commit to Maint right now, that’s not to say the situation might not change and I look forward to speaking to Nick and yourself in 2025, once we are more certain of our direction of travel.  In the meantime have a nice Christmas and New Year."</t>
  </si>
  <si>
    <t>Jonathan Sayer</t>
  </si>
  <si>
    <t>Consultancy</t>
  </si>
  <si>
    <t>Tritonia</t>
  </si>
  <si>
    <t>uk</t>
  </si>
  <si>
    <t>30 Jan - they might be interested in having us comment on their cyber security.  They use Russian software. 27 Jan - theyre interested in mAint &amp; bespoke development / support.  Steve is setting up a meeting.  06 feb - theyre still working out what they want (maybe some security consultancy).  27 Mar - Tritonia launched their product last week - they're focussing on Ocean Business for now - try again in a few weeks.</t>
  </si>
  <si>
    <t>Michael Cody</t>
  </si>
  <si>
    <t>C - Set Up Trial</t>
  </si>
  <si>
    <t>Transocean</t>
  </si>
  <si>
    <t>Set up free trial.</t>
  </si>
  <si>
    <t>Shawn Ng</t>
  </si>
  <si>
    <t>Sales Manager</t>
  </si>
  <si>
    <t>Sea and land</t>
  </si>
  <si>
    <t>Adam Melhuish</t>
  </si>
  <si>
    <t>ex-technical authority, IT, Heathrow Airport</t>
  </si>
  <si>
    <t>Morays uncle</t>
  </si>
  <si>
    <t>IT</t>
  </si>
  <si>
    <t>liked it, but pointed to the existance of Chat PDF</t>
  </si>
  <si>
    <t>Chris MacKenzie</t>
  </si>
  <si>
    <t>Ledingham Chalmers</t>
  </si>
  <si>
    <t>Legal</t>
  </si>
  <si>
    <t>Darren Brunton</t>
  </si>
  <si>
    <t>KD Associates</t>
  </si>
  <si>
    <t>Ali from IMCA put him in touch.  He's an IMCA accredited training house, initially was interested only in translation, but is also interested in mAint and Quiz.  13 Aug - theyre using other AI for their translation programmes.  They may be interested in other stuff in future.  06 feb - Steve will chase.</t>
  </si>
  <si>
    <t>Eliot Picken</t>
  </si>
  <si>
    <t>Product Owner</t>
  </si>
  <si>
    <t>JP Morgan</t>
  </si>
  <si>
    <t xml:space="preserve">Neil Meldrum </t>
  </si>
  <si>
    <t>Four Phase</t>
  </si>
  <si>
    <t>waiting for response.</t>
  </si>
  <si>
    <t>Colin Ballantyne</t>
  </si>
  <si>
    <t>BD Consultant</t>
  </si>
  <si>
    <t>Ballantyne BD</t>
  </si>
  <si>
    <t>17 Mar - spoke with Colin - he is consulting for Mission Decision so feels he is conflicted.</t>
  </si>
  <si>
    <t>David Hallett</t>
  </si>
  <si>
    <t>Minerva Energy</t>
  </si>
  <si>
    <t>blown away.</t>
  </si>
  <si>
    <t>26 Sept - Dave was blown away by mAint.  He's got a small startup, I'd like to get him using it at low cost - as long as he's heavily promoting it and agrees to a press release.  30 Sep - I've dropped him a note on LI.  8 Oct - we've agreed that we will establish a business called Aurai Wind.  Presentation to ORE, OW, Inch Cape, Bluefloat is 30 Nov.  20 Jan - next action - Moray to send him the founders agreement.  25 Feb - Dave sent back the founders agreement and we dont like it.  He had a chat with Nick recently.  essentially we're going to discuss background and foreground IP, isolate it from AurAi and any claim by him.  This would leave the work instruction workflow in AurAi, nothing else.  Ventus (Ryan H) meeting - he's interested in seeing  LMS and Quiz.  Dave is keen for him to invest in AurAi, to open up the HV sector to us.  I've discussed the challenge of DD with Nick - setting aside months of founder time with no guaranteed outcome, and the fact that until the money is achieved we'd have nothing to show / we'd have gambled while ignoring the dev team and our clients.  Plus i'm not sure AurAi is investable without investment in ScotAI, which we dont really want until we achieve product market fit because of the risk / reward they'd want.  Also - our first investor in ScotAi should be Alan Ritchie (or he should at least get the first dibs).  24 Feb -lots of debate about what IP AurAi will have.  Essentially mAint is the engine, but AurAi checks for errors and handles reporting. Note that Kensit already has some of that capability which also needs ring fenced. Action -Moray and Nick to draw it out.</t>
  </si>
  <si>
    <t>Melanie Hayes / / Lance Stuart / Petra Hollick</t>
  </si>
  <si>
    <t>mAint and Kensit</t>
  </si>
  <si>
    <r>
      <t xml:space="preserve">25 Mar - Melanie is Dan's sister.  She loved the simplicity of it.  They have lots of applications.  She will speak to their head of AI.  Assurance of Automation is the important part.  04 April - their training and support teams are interested in mAint; their horizon scanning team has something else already.   28 April - the following people are interested; Melanie expects them to be in touch:  
</t>
    </r>
    <r>
      <rPr>
        <b/>
        <sz val="12"/>
        <color theme="1"/>
        <rFont val="Arial Unicode MS"/>
        <family val="2"/>
      </rPr>
      <t xml:space="preserve">Petra Hollick  (Technical training) - 23rd at 1430.  </t>
    </r>
    <r>
      <rPr>
        <sz val="12"/>
        <color theme="1"/>
        <rFont val="Arial Unicode MS"/>
        <family val="2"/>
      </rPr>
      <t xml:space="preserve">
</t>
    </r>
    <r>
      <rPr>
        <b/>
        <sz val="12"/>
        <color theme="1"/>
        <rFont val="Arial Unicode MS"/>
        <family val="2"/>
      </rPr>
      <t>Kyle Peart (Operations training development) - has been in touch 30 April.  Setting up demo, 20 May.  Is ex-Raytheon.  See seperate notes.</t>
    </r>
    <r>
      <rPr>
        <sz val="12"/>
        <color theme="1"/>
        <rFont val="Arial Unicode MS"/>
        <family val="2"/>
      </rPr>
      <t xml:space="preserve">
Greg Humphrey (Innovation team in R&amp;D)
</t>
    </r>
    <r>
      <rPr>
        <b/>
        <sz val="12"/>
        <color theme="1"/>
        <rFont val="Arial Unicode MS"/>
        <family val="2"/>
      </rPr>
      <t>Lance Stuart (Operations Support / Procedures)- has been in touch 30 April - setting up demo, 23 May.  06 June - I've asked Melanie if theresany feedback.  09 June  - Nick has asked for feedback.  13 June:  petra - For information I have floated your offer with a couple of stakeholders internally, who are really interested in exploring your products further.  I have literally today forwarded your details to them.  So, please give them a little time to reflect and reach out.  If you have not heard anything in a couple of weeks do let me know and I will set up a demo on their behalf.  06 Oct - ive emailed Mel and Greg offering 2 months Kensit for free.  07 Nove - Neither Greg or I are in a position to accept a free trial (due to our stringent procurement processes etc.) however I am having internal discussions to see if there is an area of the business who is able to. I‘m sure we discussed previously that DigiMind is in use to support specific teams/tasks and your products had been added to the ‘alternative’ list so they may be able to use the offer as a ‘test’ of other products..  1 Dec - i've given them an update.</t>
    </r>
  </si>
  <si>
    <t>Scott Freeland</t>
  </si>
  <si>
    <t>Director, ROV Services</t>
  </si>
  <si>
    <t>Namaka Subsea</t>
  </si>
  <si>
    <t>Liked the concept</t>
  </si>
  <si>
    <t>Jason Lumsden</t>
  </si>
  <si>
    <t>NVFCL</t>
  </si>
  <si>
    <t>Alex Picone-Chiodo</t>
  </si>
  <si>
    <t>Development Engineer</t>
  </si>
  <si>
    <t>JB Valves</t>
  </si>
  <si>
    <t>Drew Rance</t>
  </si>
  <si>
    <t>Asser Awaad</t>
  </si>
  <si>
    <t>Technical Sales and Training</t>
  </si>
  <si>
    <t>Impact Subsea</t>
  </si>
  <si>
    <t>Loved the concept</t>
  </si>
  <si>
    <t>Gilles Gardner</t>
  </si>
  <si>
    <t>interested to find out more</t>
  </si>
  <si>
    <t>i</t>
  </si>
  <si>
    <t>Wes Yoakum</t>
  </si>
  <si>
    <t>Technical Sales Director</t>
  </si>
  <si>
    <t>C-Lars</t>
  </si>
  <si>
    <t xml:space="preserve">Loved the idea - especially the thought of being able to ask the massive service manual he has for his old Dodge car what tools he's going to need ahead of starting a certain task </t>
  </si>
  <si>
    <t>Tony Mekky</t>
  </si>
  <si>
    <t>Engineering Manager</t>
  </si>
  <si>
    <t>Aquatec Group</t>
  </si>
  <si>
    <t>politely interested, really concerned about loss of IP / confidentiality</t>
  </si>
  <si>
    <t>Ask him to summarise his concerns so we can discuss.</t>
  </si>
  <si>
    <t>Murray Ovens</t>
  </si>
  <si>
    <t>Product Line Manager</t>
  </si>
  <si>
    <t>SKF</t>
  </si>
  <si>
    <t>Kevin Murray</t>
  </si>
  <si>
    <t>MacArtney</t>
  </si>
  <si>
    <t>T Brian Donaldson</t>
  </si>
  <si>
    <t>Orlo</t>
  </si>
  <si>
    <t>Paul Binnie</t>
  </si>
  <si>
    <t>Rachel Bowes</t>
  </si>
  <si>
    <t>Enercon</t>
  </si>
  <si>
    <t>John Bloomfield</t>
  </si>
  <si>
    <t>Global BD Manager</t>
  </si>
  <si>
    <t>Filmocean</t>
  </si>
  <si>
    <t>Evelyn Fabiano</t>
  </si>
  <si>
    <t>Executive - OFSE Commercial Amercicas</t>
  </si>
  <si>
    <t>Baker Hughes</t>
  </si>
  <si>
    <t>Brazil</t>
  </si>
  <si>
    <t>Mark Mellor</t>
  </si>
  <si>
    <t>Ace Winches</t>
  </si>
  <si>
    <t>these guys are part of Ashtead now - best route in through that?</t>
  </si>
  <si>
    <t>Keith Higgins</t>
  </si>
  <si>
    <t>UXO consultant</t>
  </si>
  <si>
    <t>Joshua Dugan</t>
  </si>
  <si>
    <t>BDM Americas</t>
  </si>
  <si>
    <t>Tritech</t>
  </si>
  <si>
    <t>it would be extremely useful in his role as a remote sales person.</t>
  </si>
  <si>
    <t>set up a meeting with john gibbs</t>
  </si>
  <si>
    <t>Melissa Wood</t>
  </si>
  <si>
    <t>Director of BD</t>
  </si>
  <si>
    <t>TDI Brooks</t>
  </si>
  <si>
    <t>Pointed us to Mike &amp; Bennie</t>
  </si>
  <si>
    <t>Mike Kulman</t>
  </si>
  <si>
    <t>Not met</t>
  </si>
  <si>
    <t>Ryan Lumsden</t>
  </si>
  <si>
    <t>BD Manager</t>
  </si>
  <si>
    <t>SAAB Seaeye</t>
  </si>
  <si>
    <t>Joakim Slettemeas</t>
  </si>
  <si>
    <t>Business Coordinator</t>
  </si>
  <si>
    <t>Kystdesign</t>
  </si>
  <si>
    <t>neutral</t>
  </si>
  <si>
    <t>Daniel Askew</t>
  </si>
  <si>
    <t>Crewing</t>
  </si>
  <si>
    <t>Gardline</t>
  </si>
  <si>
    <t>Carmelo Zappala</t>
  </si>
  <si>
    <t>Explorer Marine</t>
  </si>
  <si>
    <t>Dr Bernie Bernard</t>
  </si>
  <si>
    <t>VP &amp; CTO</t>
  </si>
  <si>
    <t>I sent a linkedin message.  Next try email berniebernard@tdi-bi.com</t>
  </si>
  <si>
    <t>Paul Melotte</t>
  </si>
  <si>
    <t>Jobe Sports</t>
  </si>
  <si>
    <t>Sports</t>
  </si>
  <si>
    <t>Paul Smith</t>
  </si>
  <si>
    <t>Group MD</t>
  </si>
  <si>
    <t>UTEC</t>
  </si>
  <si>
    <t>Survey</t>
  </si>
  <si>
    <t>Stuart Cochrane</t>
  </si>
  <si>
    <t>PDI</t>
  </si>
  <si>
    <t>Ali Macleod</t>
  </si>
  <si>
    <t>Technical Advisor</t>
  </si>
  <si>
    <t>IMCA</t>
  </si>
  <si>
    <t>provide further details</t>
  </si>
  <si>
    <t xml:space="preserve">"This has blown my mind when I think of the potential applications".  Provide him with slides, SK brochure, ask him for a demo with technical director.  </t>
  </si>
  <si>
    <t>Hans Bahnsen</t>
  </si>
  <si>
    <t>Head of Industrial Sales</t>
  </si>
  <si>
    <t>Bosch / Worcester</t>
  </si>
  <si>
    <t>Heat</t>
  </si>
  <si>
    <t>met at All-energy.  I've messaged him via LI but it looks like he isnt a user…</t>
  </si>
  <si>
    <t>Gordon Lamont</t>
  </si>
  <si>
    <t>Area Sales Manager</t>
  </si>
  <si>
    <t>Bray Valves</t>
  </si>
  <si>
    <t>I sent him a screen grab of chatting with his valves. 1 july - I've followed up.</t>
  </si>
  <si>
    <t>Kevin Gaffney</t>
  </si>
  <si>
    <t>DDK Positioning</t>
  </si>
  <si>
    <t>Not the right time</t>
  </si>
  <si>
    <t>At the minute we are working on multiple elements of the business, i am sure the AI tools could provide a benefit to the business, as we are getting up to speed on the use of AI in other avenues of the business. At this time, i would suggest this is not an area that we need to concentrate on at the minute. thank you, Kevin</t>
  </si>
  <si>
    <t>Michael Ellis</t>
  </si>
  <si>
    <t>Sonardyne</t>
  </si>
  <si>
    <t>Loves it.  Asked Gary Male (Ops Dir) to take a look.</t>
  </si>
  <si>
    <t>non</t>
  </si>
  <si>
    <t>Gary Male is the decision maker - have asked to demo the system to him.  I've also forwarded a link to a youtube video.  I've followed up, asked for a demop wc 19 aug.</t>
  </si>
  <si>
    <t>Lewis Cruickshanks</t>
  </si>
  <si>
    <t>Project Engineer</t>
  </si>
  <si>
    <t>Altrad</t>
  </si>
  <si>
    <t>I've messaged Lewis a couple of times.  He's quite junior though, so not the right guy.  I've also filled in the form on their website (but don’t expect a response).</t>
  </si>
  <si>
    <t>Archie Ainslie</t>
  </si>
  <si>
    <t>VP BD</t>
  </si>
  <si>
    <t>Cadeler</t>
  </si>
  <si>
    <t>we need to send him the presentation and get something set up.  "Exciting prospect, Impressive". 20 May - I've followed up.  18 June - I demo'd it to Matt Bowden who loved it.  25 june - followed up.  Matt suggested following up in September again.  02 Sept - i've followed up with Matt, asked for another meeting.</t>
  </si>
  <si>
    <t>Maxine</t>
  </si>
  <si>
    <t>BD</t>
  </si>
  <si>
    <t>Cornerstone Valve</t>
  </si>
  <si>
    <t>Maxine loved it - her bosses response was "we can get AI from anywhere"</t>
  </si>
  <si>
    <t>Marc Huyzer</t>
  </si>
  <si>
    <t>Spares in Motion</t>
  </si>
  <si>
    <t>they liked the idea, but werent sure about the QR codes.</t>
  </si>
  <si>
    <t>Jake Martin</t>
  </si>
  <si>
    <t>Kensit, mAint</t>
  </si>
  <si>
    <t>Petrofac</t>
  </si>
  <si>
    <t>14 Oct - I've offered to set Jake up with a free account.</t>
  </si>
  <si>
    <t>John Petchey</t>
  </si>
  <si>
    <t>Membership Manager</t>
  </si>
  <si>
    <t>EIC</t>
  </si>
  <si>
    <t>14 Oct - I met John last week in Aberdeen, and have messaged him to get a trial set up.  17 Oct - his guy declined the free trial (incredible!)</t>
  </si>
  <si>
    <t>Lynsey Shovelin</t>
  </si>
  <si>
    <t>OREC</t>
  </si>
  <si>
    <t>30 Oct - we presented at the OREC, she didn’t seem to get it at all.</t>
  </si>
  <si>
    <t>Steve Carty</t>
  </si>
  <si>
    <t>Mick Beavers</t>
  </si>
  <si>
    <t>Sales Director</t>
  </si>
  <si>
    <t>BEL valves</t>
  </si>
  <si>
    <t>28 Oct - I've chased  Steve again; Mick put us in touch.</t>
  </si>
  <si>
    <t>Kirsty Adams</t>
  </si>
  <si>
    <t>SCM</t>
  </si>
  <si>
    <t>Bluefloat-Nadara</t>
  </si>
  <si>
    <t>30 Oct - we presented to Kirsty (and the rest of the ORE team), she looked like she was impressed - I'll wait to hear before asking.</t>
  </si>
  <si>
    <t>Ben Gray</t>
  </si>
  <si>
    <t>Area Manager - NE England</t>
  </si>
  <si>
    <t>24 Sept - he loved the demo.  Set up a further demo on the tech.  30 Oct - I've messaged Ben on LI.</t>
  </si>
  <si>
    <t>Ranier Wiering</t>
  </si>
  <si>
    <t>Heerema</t>
  </si>
  <si>
    <t>Christopher.Gildroy@bisad.ae</t>
  </si>
  <si>
    <t>British International School, Abu Dhabi</t>
  </si>
  <si>
    <t>iain</t>
  </si>
  <si>
    <t>Iain showed Chris.  He emailed in - I've offered to set him up with a premiun account for him to try.  20 Nov - Chris thinks its worth £86/month.  He is going to get permission from the school.</t>
  </si>
  <si>
    <t>Paul Turner</t>
  </si>
  <si>
    <t>Tech Director</t>
  </si>
  <si>
    <t>Imtex Controls</t>
  </si>
  <si>
    <t>21 Oct - Mick was kind enough to give me Paul's contact details.  28 Oct- I've messaged again.  OOO received - he's out until 11 November.  13 Nov - I've emailed him again.</t>
  </si>
  <si>
    <t>Laurent Melin</t>
  </si>
  <si>
    <t>Scottish Development International</t>
  </si>
  <si>
    <t>France</t>
  </si>
  <si>
    <t>19 Nov - had a demo with Laurent, he's got a Kensit setup on Fintech.   He's mentioned Gary Bowie and Wendy.  Wendy I've got a call with 2nd Dec.</t>
  </si>
  <si>
    <t>Christine McGregor</t>
  </si>
  <si>
    <t>BayWa r.e.</t>
  </si>
  <si>
    <t>31 Oct - I messaged Christine through LI.  If I don’t hear back, send her an email.  05 Dec - didn’t hear back, have emailed.</t>
  </si>
  <si>
    <t>Richard Watson</t>
  </si>
  <si>
    <t>Global Resources Director</t>
  </si>
  <si>
    <t>Sulmara</t>
  </si>
  <si>
    <t>hasn’t seen it yet - Kevin McB asked him to review it.</t>
  </si>
  <si>
    <t>I spoke with Rhys their IT manager - Neil is moving to another role, but they've not managed to backfill his old one yet so there's a delay.  Neil is back from holiday on the 15th so I've got a reminder to contact them on the 16th.  22 April - Richard Watson called earlier, loves the capability. i've messaged Neil again.  24 April - i've emailed Neil again, this time with the RR feedback.  7 May - i've told Neil that we'll be there tomorrow, to see if he's free.  6 Jun - Neil responded, wants to meet w/c 1 July.  16 July - this guy isnt interested, but ive pinged him a note ayway.  19 Nov - tried his mobile, he didnt answer.  05 Dec - i tried Rich Watson yesterday, and again today.  11 Dec - i've emailed Richard.</t>
  </si>
  <si>
    <t>Gavin Duncan</t>
  </si>
  <si>
    <t>R&amp;D</t>
  </si>
  <si>
    <t>IK Trax</t>
  </si>
  <si>
    <t>Held a demo 2 May in Aberdeen, he'd like a further demo and free trial</t>
  </si>
  <si>
    <t>Set up free trial. - I've prompted Gavin for a response - he didn’t set up the free account, so we couldn’t get him started.  I;ve asked for a follow-up pres with his team.  14 August - I've follwoed up.  06 Nov - been in touch with him a couple of times, he wants to speak in the new year.</t>
  </si>
  <si>
    <t>David Maxwell</t>
  </si>
  <si>
    <t>ORE Catapult</t>
  </si>
  <si>
    <t>27 Jan - I've asked if they are interested in Kensit briefings for OREC stakeholders.</t>
  </si>
  <si>
    <t>Hannah Mary Goodlad</t>
  </si>
  <si>
    <t>30 Jan - I've asked H-M who to speak to in Equinor.</t>
  </si>
  <si>
    <t>Howarth Greenoak, John Cumming</t>
  </si>
  <si>
    <t>Director - Offshore Wind</t>
  </si>
  <si>
    <t>28 Jan - Howarth responded to a message I sent on LinkedIn - he's interested in a demo next week. (demo is 31 January).  Howarth was 'pleasantly surprised at the demo.  Thinks Rosen would find it useful.  They use engineers in India to keep costs down.  28 Feb - chased, and asked for a contact at Rosen.  "I enjoyed our discussion and like seeing new innovative solutions coming to the market.  I’ve been thinking about how the offshore wind team could deploy your software and the type of work we do, I’m struggling to see an application.  We used to be heavily involved in the O&amp;M / statutory inspections side of both O&amp;G and offshore wind but that is an area Worley has been slowly moving away from over the past few years for strategic reasons."  06 Nov - met John Cumming at ADIPEC, and he seemed reasonably interested, but Nick adn Justin demo'd to Worley, and they already have an in-house developed equivalent so no opportunity.</t>
  </si>
  <si>
    <t>Euan Slater</t>
  </si>
  <si>
    <t>Mintra</t>
  </si>
  <si>
    <t>Training</t>
  </si>
  <si>
    <t>21 Mar - met at the Share Fair - have emailed him.  Note that they make money by selling bums on seats in training courses.</t>
  </si>
  <si>
    <t>Ambroise Wattez</t>
  </si>
  <si>
    <t>SBM</t>
  </si>
  <si>
    <t>Monaco</t>
  </si>
  <si>
    <t>I messaged him via LI - he's just started his new job.  18 March - sent him an email.</t>
  </si>
  <si>
    <t>Dianne Gardiner</t>
  </si>
  <si>
    <t>AGCC</t>
  </si>
  <si>
    <t>20 feb - bumped into her yesterday, get a demo set up with their marketing peeps for Kensit.  26 Mar - ive emailed her.</t>
  </si>
  <si>
    <t>Paul Steven</t>
  </si>
  <si>
    <t>TSR</t>
  </si>
  <si>
    <t>03 March - I demo'd to Paul.  He has a client who might like mAint.  10 Mar - sent him the deck.  31 Mar - chased.</t>
  </si>
  <si>
    <t>Will Currie</t>
  </si>
  <si>
    <t>mAint Inspect</t>
  </si>
  <si>
    <t>Sr BDM</t>
  </si>
  <si>
    <t>Trac Renewables</t>
  </si>
  <si>
    <t>31 Mar - I've messaged Will about CPH / mAint inspect.</t>
  </si>
  <si>
    <t>Innes Weir</t>
  </si>
  <si>
    <t>Scottish Sea Farms</t>
  </si>
  <si>
    <t>Steve spoke to Innes &amp; will set up a demo.  18 Mar - ive asked Steve to follow up. 27 Mar  - hes not responding.  03 April - steve will phone him.</t>
  </si>
  <si>
    <t>Mark Lammey</t>
  </si>
  <si>
    <t>Comms Manager</t>
  </si>
  <si>
    <t>NSTA</t>
  </si>
  <si>
    <t>Government</t>
  </si>
  <si>
    <t>20 Feb - met him at subsea expo (Mark.Lammey@nstauthority.co.uk) .  He was a bit neutral on Kensit, but I reckon he’ll love the dashboard.</t>
  </si>
  <si>
    <t>Richard van der Tuin</t>
  </si>
  <si>
    <t>E30</t>
  </si>
  <si>
    <t>Deutsche Windtechnik</t>
  </si>
  <si>
    <t>05 Nov - Richard asked for a call.  He wants to meet on the 14th for a wide ranging discussion on innovation to achieve a step change.  They will demo their system and ask us where innovation could apply.  I’ve showed him Kensit &amp; mAint, and the bVilder video on your LinkedIN page (couldnt find it online).  I mentioned tendering to him - theyve only just adopted Sharepoint and Teams, it’s killing them - theyre not ready for something else.  15 Nov - demo'd to RIchard and ROland Sandker (PM).  they really like it.  They're using the Twindo software and were surprised to hear that others (DHR) are using it too - they thought it was unique to them.  SSoW is interesting.  Follow up mid-Dec.  11 Dec - followed up; i've asked if the tender tool would be of interest (it is - iscussions ongoing).    I've told him we need PO and payment by end January for it to be valid.  He wuold have no other costs in 2025 unless they roll it out beyond 20 users.  They would get 20% discount off our licence in 2026.  15 Jan - ive prompted a response; they have no budget.  09 Dec - i've emailed Richard again.</t>
  </si>
  <si>
    <t>Michael Diamond</t>
  </si>
  <si>
    <t>Norman Broadbent</t>
  </si>
  <si>
    <t>Recruitment</t>
  </si>
  <si>
    <t>10 April - I've sent him a whatsapp.</t>
  </si>
  <si>
    <t>Steve.Raffan@kciltd.co.uk</t>
  </si>
  <si>
    <t>referral from Iain</t>
  </si>
  <si>
    <t>Iain showed him at Adipec.  Moray to follow up.  20 Nov - followed up.  21 Nov - Apologies for the delay in getting back to you. We are going through a bust period just now. 
I am still interested in the system but to be honest I'll be struggling to find time just now. We are in the process of implementing a new ERP system and this is taking up most of my time. Can we schedule a catch up in the new year?.  (i've suggested reselling).  20 Feb - sent chaser.  26 Mar - sent chaser.</t>
  </si>
  <si>
    <t>Jimmy Dean</t>
  </si>
  <si>
    <t>Automous</t>
  </si>
  <si>
    <t>19 Feb - jimmy loves it - wants set up and onboarding for his team.  Theyre a potential partner not really a potential customer.  Ive told him he'll get comission if others adopt it independently - esp Aramco.  03 Mar - chased via Linkedin.</t>
  </si>
  <si>
    <t>Dan Hall, Scott Hamilton</t>
  </si>
  <si>
    <t>DH Renewables / Techmar Group.</t>
  </si>
  <si>
    <t>loved it but would have to share the licence with Ecocel</t>
  </si>
  <si>
    <t>26 Jul - I've offered a reduced price Starter Kit just for them provided we can issue a press release. 26 Sept - ask Dan for an intro to the software business.  31 Mar - I met Scott H last week in Aberdeen.  Have mentioned mAint Inspect to him. Might meet in CPH.  02 April - Scvott &amp; Dan have discussed - they're happy with Twindo just now - so no real interest.</t>
  </si>
  <si>
    <t>FIS360 / National Nuclear Laboratory NNL</t>
  </si>
  <si>
    <t>26 Dec "Great to meet you. My name is Rob Cruickshank, and I’ll be the project manager for this feasibility. Thank you for submitting the SIF. NNL anticipates providing your PO in late January or February.
Given the time-sensitive nature of the project, with the goal of completing the 12-week feasibility study by the end of the fiscal year, I wanted to check whether you’d be comfortable starting in the new year or if you’d prefer to wait until the PO is in place before beginning work.
I’m available today and tomorrow morning if you’d like to hold the introductory session before Christmas. Alternatively, we can schedule it for the new year. Could you also let me know your availability during the week commencing 6th January for a one-hour kick-off meeting with Sellafield?"
 09 Jan - met with Rob; kickoff with Sellafield is tomorrow.  Note that we originally pitched 'Quiz', 'learn' and 'nuclear security'.  Feasibility Project: (For Sellafield)
Robert works at FIS360, our application stood out to Sellafield
We are now in phase 2, 12 week feasibility testing, if successful, goes in to POC (6-12 months) match funded: 50-200k
go to game changers website&gt;about
Sellafield fund 70% of poc development, we would fund 30%
Sellafield wants to use mAint.. will set out exactly what is needed in the feasibility.
Submit 'final' documents in week 12 including invoice
Feasibility study:
demo, simulation, prototype or design study
•⁠  ⁠Required: business case, project plan, risk register.
FIS360 WILL GIVE US TEMPLATES
Kick off meeting with Sellafield will be to understand scope. Need to make sure scope is very clear for the 12 week feasilibty
Pitch session after feasibility to decide on POC.
kick off meeting: 1 hour meeting
Must haves / nice to haves
Constraints to consider (mAint secure, cyber security, clearances required?)
What can be achieved in 12 weeks (ScotAi)
Data and other information required (ScotAi)
Agree a timescale for provision of above (ScotAi)
Make a list of what was in the application (ScotAi)
Software demo of mAint and kensit?
Whats the 'thing' that Sellafield needs us to solve?
Main issues:
Skills
Asset Management.  13 Jan - we need a project plan for delivering this.  20 Jan - chased up - he's chasing Sellafield &amp; will call me ASAP.  20 Jan - theyre developing their own LLM system, might be interested in it but probably not - interested in Kensit instead - buit we're fighting mAints corner.  27 Jan - they're going to send us a spec.  theyre interested in Kensit.  Next meeting - talk about mAint secure as well as Kensit.  Data security, accuracy, competency checking.  They want Kensit to scour the web for steel prices, product recalls, etc and report it into a table.  29 Jan:  the task is now to... "“Objective: Develop a tool that provides live updates on current events and business risks impacting business decisions.
Key Tasks:
Data Integration: Collect and process data from multiple sources (news APIs, financial market APIs, social media, etc.) using keyword filtering and NLP for relevance and sentiment analysis.
Real-Time Updates: Ensure real-time data processing and notifications.
User Interface: Create a responsive, user-friendly dashboard for displaying real-time data with customisable risk categories.
System Reliability: Ensure the system is scalable, secure, and reliable with high availability and compliance with data protection regulations.”  19 FEb Rob from the nuclear accelerator called yesterday to check we’re on track and making progress.  he reiterated that filling in those 3 documents for him are the most important thing.  07 Mar - demo'd to Sellafield, they really liked it, the big opoortunity is to save them between £365M and £1Bn a year by interrogating their petabytes of data.  really exciting prospect.  We think they'll have £250k to spend on it.  18 Mar - update meeting with them - theyre looking at job cuts, not interested in new tech really.  Action is to give them all to the existing Kensit which we've developed.  We only need to fill in the Gantt chart if we want to develop furtther software (we've had a go, but theyve said they have no money).  In the final meeting we have to pitch the whole thing.  tell them what we give them thats not included in Google News, Copilot. Giving them access to the platform is enough to be able to invoice them. We need to invoice before the 21st.  25 Mar - we onboarded Samuel, ROb and Eleise.  they are interested in climate resilience - changes in average wind speed and temperature.  08 MAY - after telling us they dont have budget to proceed, we've managed to get them to agree to a meeting tomorrow - maybe we'll get them on a subscription instead.  Have offered mAint Secure for free (it will be free as long as they maintain their subscription...).  28 May - chased.  next step is to ask for review.</t>
  </si>
  <si>
    <t>Graham Garven</t>
  </si>
  <si>
    <t>Garven Solutions</t>
  </si>
  <si>
    <t>We need to get Graham going with the Kensit +.  27 Jan - Nick to speak to Rakesh, find out whats happening (we need the ability to top &amp; tail, and edit the content).  Nick to advise status.  12 Feb - we did the handover to Graham earlier; I had to duck out so Rakesh looked after it.    I've asked Graham Garven how it went.  Once we have feedback, will ask Nick to invoice.  21 Feb - Grahams findin gthe interface tricky, will set up a demo.  10 Mar - Rakesh is working on UI and content fixes.  31 Mar - ive messaged Graham about strpe integration and giving him a sneak preview of new features/. 24 April - Graham is in JK, he's back next Weds - he has given us a template he would like to use.  G24 June - graham used the system for a bit, but never paid for it.  He had a couple of issues, i've told him we're having to focus on paid subscribers just now, will get back to him.</t>
  </si>
  <si>
    <t>Toni Liman</t>
  </si>
  <si>
    <t>Digi</t>
  </si>
  <si>
    <t>AkerBP</t>
  </si>
  <si>
    <t>05 June - met Toni at the Go Digital Energy event - have asked for a demo. toni.liman@akerbp.com. 06 Oct - chased.  15 Oct - "This is not a topic for me at the moment."  17 Dec - provided lots of info over the last couple of weeks - continually asking for a demo.</t>
  </si>
  <si>
    <t>Vinod, Rajeev</t>
  </si>
  <si>
    <t>Ian McGilivary</t>
  </si>
  <si>
    <t>KOMC</t>
  </si>
  <si>
    <t>30 Sept - they liked it but they have to follow OEM everything, and theyre audited against it - especially Baker Hughes.  They'll put us in touch with the Middle East director for Baker Hughes.    They manufacture gate, globe, check valves and ball valves up to 12".  They compete on techncial strength, delivery, reputation.  99% are non-Kuqwaiti, mostly indian.</t>
  </si>
  <si>
    <t>Michael Barrie / Jose</t>
  </si>
  <si>
    <t>SPS Manager</t>
  </si>
  <si>
    <t>Lesley put us in touch.  Set up a demo.  Demo went well - we need to follow up with him again.  23 Sept - chased. Upgraded to trial starter kit. Onboarding required (30-9). 30 Sept - emailed Mike to offer 0nboarding.  22 Oct - ive emailed again (he is OOO).  30 Nov - I have reached out to an individual in SLB’s AI Platform team and am waiting to hear back from him.  Please bear with me a few days longer until I get a response, which will hopefully lead to a favourable exit out of this minefield of people and unknowns regarding the topic of introducing potential technology partners to the SLB organization.  13 Nov - ive sent Jose a LinkedIN request (i see he's ex-NASA...).  I've also let Michael know that Jose hasnt been in touch.  28 Nov -Michael has undertaken to get in touch with Jose.  15 Dec - Nick messaged Michael.</t>
  </si>
  <si>
    <t>Nina Spencer</t>
  </si>
  <si>
    <t>Crew Onward</t>
  </si>
  <si>
    <t>Prof Jo-Anne Murray</t>
  </si>
  <si>
    <t>Aberdeen Uni</t>
  </si>
  <si>
    <t>22 Oct - Jo-Anne liked it - "it’s the future of education" - She needs to talk with some of her peers.  I've suggessted that if files are distributed to students through mAint, if there's an assessment ongoing we will suspend the files for the duration so they cant access the materials.  I've offered to give her a load of Kensit credits.  They have a new head of AI for medical stuff starting - i mentioned mAint Triage.  It's m not clear how much of an opportunity this is, but keep in touch.  "Hi Moray, we have a lot going on at the moment and I don’t want to hold you up so please go ahead with the others. All the best, Jo-Anne "</t>
  </si>
  <si>
    <t>graham wright</t>
  </si>
  <si>
    <t>Martin Dey</t>
  </si>
  <si>
    <t>the route in here is through Caiman.</t>
  </si>
  <si>
    <t>James Foster-Rain</t>
  </si>
  <si>
    <t>Subsea Tooling Manager</t>
  </si>
  <si>
    <t>Forum</t>
  </si>
  <si>
    <t>Hal McCorry</t>
  </si>
  <si>
    <t>Videographer</t>
  </si>
  <si>
    <t>OGV</t>
  </si>
  <si>
    <t>Media</t>
  </si>
  <si>
    <t>doesn’t give them anythign more than Chat GPT does.</t>
  </si>
  <si>
    <t>Ulf Andersson</t>
  </si>
  <si>
    <t xml:space="preserve">VP Installation </t>
  </si>
  <si>
    <t>NKT</t>
  </si>
  <si>
    <t>Sweden</t>
  </si>
  <si>
    <t>"it worked fine'</t>
  </si>
  <si>
    <t>Kola Otekalu</t>
  </si>
  <si>
    <t>EMEA HR</t>
  </si>
  <si>
    <t>I have sent her a LI message.  Use of Maint Competence as a prerequisite to applying for a job.</t>
  </si>
  <si>
    <t>John Sinclair</t>
  </si>
  <si>
    <t>Bilfinger</t>
  </si>
  <si>
    <t>Menno Kleijn</t>
  </si>
  <si>
    <t>Boskalis</t>
  </si>
  <si>
    <t>John Gibbs</t>
  </si>
  <si>
    <t>Keen to meet for coffee</t>
  </si>
  <si>
    <t>set up a meeting.  Nick sent him a LI request.</t>
  </si>
  <si>
    <t>Gregor Scott</t>
  </si>
  <si>
    <t>Ocean Installer</t>
  </si>
  <si>
    <t>None yet.</t>
  </si>
  <si>
    <t>Peter Kybelund</t>
  </si>
  <si>
    <t>Senior Manager for Processes</t>
  </si>
  <si>
    <t>LEGO</t>
  </si>
  <si>
    <t>Dylan</t>
  </si>
  <si>
    <t>Lego</t>
  </si>
  <si>
    <t>wants Quiz</t>
  </si>
  <si>
    <t>He wants Quiz.</t>
  </si>
  <si>
    <t>Gillian Henderson</t>
  </si>
  <si>
    <t>FES</t>
  </si>
  <si>
    <t>Utilities</t>
  </si>
  <si>
    <t>neutral -- wrong person</t>
  </si>
  <si>
    <t>Alan Baird</t>
  </si>
  <si>
    <t>Country Manager UK</t>
  </si>
  <si>
    <t>Danfoss</t>
  </si>
  <si>
    <t>Controls</t>
  </si>
  <si>
    <t>Arlene Hutchinson</t>
  </si>
  <si>
    <t>ABB</t>
  </si>
  <si>
    <t>Auben Lavery</t>
  </si>
  <si>
    <t>Utility</t>
  </si>
  <si>
    <t>All energy.  I don’t have his card, but have guessed his email address.</t>
  </si>
  <si>
    <t>Carmen Obispo</t>
  </si>
  <si>
    <t>Global Training &amp; Development Director</t>
  </si>
  <si>
    <t>GE</t>
  </si>
  <si>
    <t>loved the documentation bit but threatened?</t>
  </si>
  <si>
    <t>she loved the doc side, but she kept saying that the assessment piece needs to be flexible, not everyone learns the same way, and they've got their own systems which they're developing, and people very high in the organisation are responsible for.  I dont think this is an opportunity for us, but we're welcome to go back and show her 'Quiz' when it's launched.</t>
  </si>
  <si>
    <t>John Huxtable</t>
  </si>
  <si>
    <t>Dewesoft</t>
  </si>
  <si>
    <t>IoT</t>
  </si>
  <si>
    <t>Loved it.  Blown away.</t>
  </si>
  <si>
    <t xml:space="preserve">John loved it, but he is taking a week of to fix up his old van. 20 May - I've followed up.  4 Jun - I've followed up.  " I think the last week in June is still looking relatively quiet. I think it would be good to get all of us on a call together – possibly even including those involved in marketing/creating the documentation from Slovenia.  14 Jun - John was going to speak to his marketing lead.  1 Jul - i've prompted them for a call.
Ahead of any repeat session, I will contact the team in Slovenia to see what they may already be planning in terms of enhancing our documentation (if anything) and then see if they’d be interested in a demonstration". John responded saying he couldnt get them excited by it - so back to I-Prospect for this one.
 </t>
  </si>
  <si>
    <t>Robbie Graham</t>
  </si>
  <si>
    <t>SPP Pumps</t>
  </si>
  <si>
    <t>Pump</t>
  </si>
  <si>
    <t>met him at Energy Exports in Aberdeen.  Emailed on 14 Jun and again on 10 jul.</t>
  </si>
  <si>
    <t>Claes Drougge</t>
  </si>
  <si>
    <t>ACC Group</t>
  </si>
  <si>
    <t>this company manufactures the V8 Ocean Modules ROV.  I've asked if it's OK to use the manual in an online Quiz.</t>
  </si>
  <si>
    <t>Hollie Moran</t>
  </si>
  <si>
    <t>AAE</t>
  </si>
  <si>
    <t>LI message (s)</t>
  </si>
  <si>
    <t>Mark Goodfellow</t>
  </si>
  <si>
    <t>Valve and Actuator SME</t>
  </si>
  <si>
    <t>Alderley</t>
  </si>
  <si>
    <t>I messaged Mark via LinkedIn back in May - he asked for me to send him anote which I did but no response.  14 Aug - ive chased via email and LinkedIn message.  14 Aug - Alderley went bust a few weeks ago.</t>
  </si>
  <si>
    <t>Sam Goodman</t>
  </si>
  <si>
    <t>L&amp;D</t>
  </si>
  <si>
    <t>ITP Energised</t>
  </si>
  <si>
    <t>na</t>
  </si>
  <si>
    <t>30 Aug demoing the system to Sam next week..  11 Sept - it went well, but due to a restructure they don’t know what eachother are doing yet.  Keep in touch.</t>
  </si>
  <si>
    <t>Toby Powell</t>
  </si>
  <si>
    <t>Lead Geotechnical Engineer</t>
  </si>
  <si>
    <t>interested to know if the system could read old, grainy pdf's/.  2 Sept - we had a meeting with Toby and David Down (Head of Projects) this morning - all very positive - they’re going to summarise what they would like out of an AI tool for us, then we'll speak.  Last meeting was in Aberdeen at Floating Wind, with Toby's boss - they're not going ahead.</t>
  </si>
  <si>
    <t>kieran Ivers</t>
  </si>
  <si>
    <t>Green Rebel</t>
  </si>
  <si>
    <t>IRE</t>
  </si>
  <si>
    <t>not interested - too busy getting ready for the season</t>
  </si>
  <si>
    <t>contact him later in the year.</t>
  </si>
  <si>
    <t>Thorsten Leibhan</t>
  </si>
  <si>
    <t>Zopf</t>
  </si>
  <si>
    <t>26 Sept - was interested in the demo - they sell electrical apparatus - follow up (but I don’t think this is a strong one).</t>
  </si>
  <si>
    <t>Michal Stanosek</t>
  </si>
  <si>
    <t>Protea</t>
  </si>
  <si>
    <t>26 Sept - they're not getting much revenue from aftermarket.  Seemed interested in it, but didn’t think they would pay.</t>
  </si>
  <si>
    <t>Menno</t>
  </si>
  <si>
    <t>26 Sept - Menno confirmed that Boskalis has its own internal LLM, they're forbidden to use anything else.</t>
  </si>
  <si>
    <t>Frank Ludvigsen</t>
  </si>
  <si>
    <t>Scanmudring</t>
  </si>
  <si>
    <t>he's asked for a meeting.  7 jun - Frank loves it.  He wants to hold another meeting next week. He sees particular value for HR, technical support, offshore guys.70 staff.  17 June - they’ve emailed saying they like the system and want a free trial.  1 july - will follow up with Frank.  03 July - No problem! As mentioned before, a really cool product. We have tested a bit internally and found that we currently don’t have the resources to set up mAint on our systems and that we would like to investigate mAint a bit further down the road when its more mature and new features has been implemented.</t>
  </si>
  <si>
    <t>Jonas Jueling</t>
  </si>
  <si>
    <t>they have 10 free seats.  14 Aug - I've chased Justin.  22 Aug - mAint is on pause due to current workload.</t>
  </si>
  <si>
    <t>Maisie Tuttle</t>
  </si>
  <si>
    <t>Kent</t>
  </si>
  <si>
    <t>30 Oct - I've messaged Maisie.</t>
  </si>
  <si>
    <t>Ewan Walker</t>
  </si>
  <si>
    <t>Project Director - Arven</t>
  </si>
  <si>
    <t>Mainstream RP</t>
  </si>
  <si>
    <t>31 Oct - I emailed Ewan to pick his brain about Aurai.</t>
  </si>
  <si>
    <t>Kenny Craig</t>
  </si>
  <si>
    <t>comms</t>
  </si>
  <si>
    <t>I've whatsApped Kenny to try to pick his brain on Kensit.</t>
  </si>
  <si>
    <t>Andy Dare</t>
  </si>
  <si>
    <t>Andrews Survey</t>
  </si>
  <si>
    <t>he asked me to message Gordon Brown, which I have done.   16 July - chased again.  19 Nov - emailed again.</t>
  </si>
  <si>
    <t>Gabriel Davies</t>
  </si>
  <si>
    <t>21 nov - emailed her.</t>
  </si>
  <si>
    <t>Klaus Schreiber</t>
  </si>
  <si>
    <t>VP Sales &amp; Service</t>
  </si>
  <si>
    <t>palfinger</t>
  </si>
  <si>
    <t>Austria</t>
  </si>
  <si>
    <t>26 Sept - he was really interested, but they're still working with paper manuals.</t>
  </si>
  <si>
    <t>Daniel Himsworth</t>
  </si>
  <si>
    <t>Marks &amp; Spencer</t>
  </si>
  <si>
    <t>29 Nov - I sent Daniel an email (I found his email on LinkedIn) - want to pitch him the idea of AI to help take the stress out of cooking meals (scan all the QR's, tell it how many ovens / hobs / microwaves you have, it'll give you a work instruction and reminders on what to do, when).</t>
  </si>
  <si>
    <t>Dan Haywood</t>
  </si>
  <si>
    <t>Vesta Group and CSAM</t>
  </si>
  <si>
    <t>18 Feb -  met at Subsea Expo - he buys software businesses - he likes the sound of mAint plugin - will get Csam to set up a call.  10 Mar - messaged via LI.  12 Mar - sent an email to his "info@" address.</t>
  </si>
  <si>
    <t>VP, MD - revolution and sunrise wind</t>
  </si>
  <si>
    <t>15 April - emailed.</t>
  </si>
  <si>
    <t>Derek Brander, Marks Iraids</t>
  </si>
  <si>
    <t>Atlas Copco</t>
  </si>
  <si>
    <t>Engineering rental</t>
  </si>
  <si>
    <t>20 feb - met them at expo yesterday, Derek was enthusiastic.  05 Mar - ive messaged Marks.  10 Mar - he responded and will set something up with Derek.  26 Mar - chased - trying to get a demo setup.  27 Mar - looks like its next Wednesday.  07 April - I've suggested that Marks give the system a go, his colleagues can try it out later.  24 April - i've LI'd him again - pointed out that its no obligation, no credit card required...</t>
  </si>
  <si>
    <t>Karen Donelly, Kulraj Singh</t>
  </si>
  <si>
    <t>International Trade Specialist</t>
  </si>
  <si>
    <t>Scottish Enterprise</t>
  </si>
  <si>
    <t xml:space="preserve">15 May - Karen will introduce us to the lady who might be intereasted in Kensit.  06 June - have been trying to get Kulraj Singh to take a free trial.  Have offered a ton of credits in exchange for feedback so we can improve the system.  </t>
  </si>
  <si>
    <t>Wendy Lamin</t>
  </si>
  <si>
    <t>Global Trade Specialist - Tech</t>
  </si>
  <si>
    <t>met with wendy and her Australian colleague (Melbourne) Cindy Callander.  Action is to send through a deck so they can find us conference speaking slots, and also try help us find clients for the tech.  Note that Wendy's husband is head of AI at Leonardo.  11 Mar - provided a pres on the company and also on AurAi.  13 June - forget Scottish Enterprise.</t>
  </si>
  <si>
    <t>Alex Blankenstijn</t>
  </si>
  <si>
    <t>Senior Market Analyst</t>
  </si>
  <si>
    <t>JDN</t>
  </si>
  <si>
    <t>26 Sept - Norman introduced Alex.  Alex is responsible for the review of their AI strategy.  They have an (unnamed) company looking at creating an Agatha for them; project is reporting back on Monday; we may yet be invited in to present.  02 Oct 2025 - gave him an update.</t>
  </si>
  <si>
    <t>Graham Booth</t>
  </si>
  <si>
    <t>Digital Tech</t>
  </si>
  <si>
    <t>NZTC</t>
  </si>
  <si>
    <t>set up discussion for field trials with their customers.  They are looking at their own LLM, and aer also looking at the opportunities for COTS models.  28 Apr - Nick has chased.  Sept 2025 - after we offered NZTC mAint for free, they hired someone to develop one for themselves.</t>
  </si>
  <si>
    <t>Alan Froude</t>
  </si>
  <si>
    <t>Moray / Floating Wind Aberdeen</t>
  </si>
  <si>
    <t>General Manager - Beatrice</t>
  </si>
  <si>
    <t>23 Jan - met Alan at the Glasgow wind event, he's interested in AurAi, and thinks his colleagues Lee Martin (continuous improvement) and Debbie Blackwood (AE's) would also be interested.  27 Jan - chased.  Thanks, I have forwarded on your email and we have someone looking to carve out a time.  31 Jan - ive chased.  28 Feb - chased again.  14 April - chased again.  He's leaving SSE but hasn;t given me a company to speak with.</t>
  </si>
  <si>
    <t>Online</t>
  </si>
  <si>
    <t>Salamander Wind</t>
  </si>
  <si>
    <t>Philip Stanyon</t>
  </si>
  <si>
    <t>Subsea Energy Solutions</t>
  </si>
  <si>
    <t>19 Feb - I did a demo to Philip at Subsea Expo.   He loved it.  I need to email MD Ryan.Noble@subseaengsol.co.uk and Claire@subseaengsol.co.uk to set up a demo.  It has to be on a Wednesday - philip only works wednesdays and wants to be part of it.  25 Feb - met with them - Ryan couldnt see the relevance of mAint to a company their size.  Proposals module likely to be of more value.</t>
  </si>
  <si>
    <t>ScaleEQ</t>
  </si>
  <si>
    <t>Not interested.</t>
  </si>
  <si>
    <t>Claire Phillips</t>
  </si>
  <si>
    <t>UK country director Oilfield Services</t>
  </si>
  <si>
    <t>Baker Hughes?</t>
  </si>
  <si>
    <t>Subtron Group</t>
  </si>
  <si>
    <t>Samir Nacef</t>
  </si>
  <si>
    <t>YIWC</t>
  </si>
  <si>
    <t>Egypt</t>
  </si>
  <si>
    <t>Iain Brand</t>
  </si>
  <si>
    <t>QHSE Manager</t>
  </si>
  <si>
    <t>Brimmond</t>
  </si>
  <si>
    <t>Stephen Steele</t>
  </si>
  <si>
    <t>STR</t>
  </si>
  <si>
    <t>Andy Smerdon</t>
  </si>
  <si>
    <t>Olly Larkworthy</t>
  </si>
  <si>
    <t>EMEA Technical &amp; Ops Manager</t>
  </si>
  <si>
    <t>set up a meeting.  19 Mar - I've sent him a message to try &amp; meet on Friday.</t>
  </si>
  <si>
    <t>Douglas Hunter</t>
  </si>
  <si>
    <t>Innovation Manager</t>
  </si>
  <si>
    <t>MOWI</t>
  </si>
  <si>
    <t>don’t seem interested.  Is probably the wrong guy.</t>
  </si>
  <si>
    <t xml:space="preserve">Mario Augusto Urias dos Santos </t>
  </si>
  <si>
    <t>Senior Advisor</t>
  </si>
  <si>
    <t>Tenaris</t>
  </si>
  <si>
    <t>Provide a proposal.</t>
  </si>
  <si>
    <t>Agustin Riso</t>
  </si>
  <si>
    <t>Aquatec</t>
  </si>
  <si>
    <t>likes it, but he has had some technical trouble.</t>
  </si>
  <si>
    <t>set up a meeting to demo it to the team.</t>
  </si>
  <si>
    <t>Henrique Duarte</t>
  </si>
  <si>
    <t>Head of R&amp;D</t>
  </si>
  <si>
    <t>Geosurveys</t>
  </si>
  <si>
    <t>Portugal</t>
  </si>
  <si>
    <t>loves it.</t>
  </si>
  <si>
    <t>set up a meeting.  20 Mar - I've sent him a message.  1 april - i[ve chased again - if he doesn’t respond, reset to zero.  Qwe have since presented to them and prepared a proposal.  22 April - we'd expected to have heard back by now - I've chased.  7 May - i've sent through an updated deck.  10 Jul - i've let him know about Quiz.</t>
  </si>
  <si>
    <t>Launch Academy</t>
  </si>
  <si>
    <t>14 Aug - I've applied for the launch academy.  We didn’t get in.</t>
  </si>
  <si>
    <t>Peter McAteer</t>
  </si>
  <si>
    <t>Sysmax</t>
  </si>
  <si>
    <t>19 Nov - ive messaged him.</t>
  </si>
  <si>
    <t>Stefano.Spinosi@bakerhughes.com</t>
  </si>
  <si>
    <t>Iain showed Stefano mAint at ADIPEC,  Moray to follow up.</t>
  </si>
  <si>
    <t>Ibrahim.Abuaisha@bakerhughes.com</t>
  </si>
  <si>
    <t>Iain showed mAint to Ibrahim at ADIPEC.  Moray to follow up.  20 Nov - "respectfully, this is not of interest".</t>
  </si>
  <si>
    <t>Becky Prince</t>
  </si>
  <si>
    <t>mAint Learn</t>
  </si>
  <si>
    <t>Steven</t>
  </si>
  <si>
    <t>Learning  and development advisor</t>
  </si>
  <si>
    <t>JCB</t>
  </si>
  <si>
    <t xml:space="preserve">27 Feb - Nick and the other guy from immersive engineering met with Becky.  They have 14k employees all over the world and need an LMS which can adapt to local standards.  Really liked what she saw, including the mock-ups.  She will get back to us (but we need to chase this).  13 Mar - Scott chased this yesterday - shes not had time to brief her manager yet.  31 Mar - Scott has chased her a couple of times. 06 May - chased.  she isnt responding </t>
  </si>
  <si>
    <t>Svetlana Serebriakova</t>
  </si>
  <si>
    <t>Referred by BSI</t>
  </si>
  <si>
    <t>Rockwell Automation (Fiix)</t>
  </si>
  <si>
    <t>18 Mar - we were intro'd to Fiix by BSW (timber) who wanted an API integration.  We demo'd the system to them and they were impressed.  They have their own AI group, but loved mAint.  Nick has a call with Svetlana tomorrow.  This one could be really interesting.  31 March - Nick chased.  28 April - Nick has chased.  10 June - chased.  14 Jul - these guys tried to copy mAint (according to BSW).  Luckily, BSW didnt like that.</t>
  </si>
  <si>
    <t>Ray Forsyth</t>
  </si>
  <si>
    <t>Group Technical Manager</t>
  </si>
  <si>
    <t>13 August = they want to be a customer, the delay was in getting hold of their IT guy, who (after many atempts at contactng them) said we need Cyber Essentials.  We'll have that imminently, so they should be a customer soon... (?). 19 Aug - call with STR was good. CFO is a cool guy, fully on board. Wants Ray and us to put together a deployment plan systematically getting us bigger and bigger.  11 Sept - has been escalated to their CFO.   Friday morning we need to follow up. 30-9.. Awaiting PO????????????.  16 Oct - last time i spoke with Ray, he mentioend going ahead in November.  I've asked if we get the PO in Oct we hit the ground running in Nov, and we'll give him a months grace so he doesnt lose out.  Ray is on holiday at the mo - it might slow things down.  28 Oct - i've chased Ray (he's got a meeting next week to discuss the IMS; i've asked if he needs more info.  what Stuart wants - many software businesses - wants to go through teh IMS - put a map in place.  5 different softwares - Ray knows the structures of what they want laid out.  Norbit - they have a manageemnt system STR'd like to replicate - mAint would be able to work inside that system.  likes Norbit system - will ask Tom Bloomfield.    Simple user interface.  Sales, production, etc click on parts of the flow - bring up relevant production.  Integrated to look like thier website - mAint can do that but also use the functionality, type in the questions.    7th Nov meeting Ray at 1400.  use mAint as IMS, addons for everything else.  He's keen to use ScotAi because we're from the industry.   08 Nov - Ray didnt turn up for the call he set for us yesterday,  I've emailed him to try and set something up (discovery session).  12 Nov - i tried to call Ray, didnt leave a voice message.  19 Nov - i tried to call Ray 2x but it wouldnt connect.  25 Nov - i've tried Ry again, he didnt answer.  I assume he's not interested.  29 Nov - Scott J tells me that Ray's just been rushed off his feet, is still interested.  05 Dec - tried calling him again, no response.  11 Dec - sent him a note congratulating him on the investment, asking if they've gone ahead with the IMS / competency system.  18 Dec - i tried calling Ray today, no response - was going to mention the offer to him.  13 jan - tried calling, no response.  07 Feb - we're meeting Ray on the 18th in Aberdeen, and David Ball just called (because we told him his trial was up).  He now has an instruction to sort out their IMS.  hes looking for something which can be used for finding and clicking through documents.  He will list what he wants and let us know.  12 Feb - David has sent through details of their requirements.  18 Feb - met Ray (briefly) at Subsea Expo.  they now have a 4-person committee looking into management systems.  Ray and David like what we're doing.  Next step is for us to demo to them again on Monday at 4pm.  We mentioned Caiman as another option.  21 Feb - Ray messaged to confirm that theres a mAint plugin for CaimanIQ. hes also asked if we would want to develop a whole IMS for them.   Ive given Danny the background to this (from my support right at the start of STR), and told him he's got a decision to make - either go ahead with the plugin or we'll have to develop an IMS.  I've told him i dont want to do that because of my friendship with Mark, but fundamentally CaimanIQ is now looking a bit old fashioned, mAint would fix that, but if not we have 6 FT software devs and we'd just get it done - and i know all of their clients.  I've suggested that Danny setup a mAint account so that he can demo / use it if he wants.  07 Mar - ive asked Ray for feedback from the demo.  13 March - i called David Ball.  they're still looking at systems.  They do want mAint but first need to chose another system, and they dont have the docs ready to upload yet. Sharepoint and DRA discussed.   I've told him that the pricing will be going up from client 13 onwards, and they may well miss the boat.  He doesnt seem fussed.  24 Mar  - we've received an RFQ from them, it's clear they're looking for a boring solution from a big company, it's probably a no-bid.  21 May - sent Ray a screenshot of mAint Inspect with use case of goods in at the rental company.    Sept 25 - we gave Ray another proposal, 06 Oct 2025 - chased ray.  13 Oct - didnt hear back from the last one, so i sent him a WhatsApp.  09 Dec - update provided.</t>
  </si>
  <si>
    <t>Neville McLaughlin</t>
  </si>
  <si>
    <t>Siemens Gamesa</t>
  </si>
  <si>
    <t>They have something similar already</t>
  </si>
  <si>
    <t>they have something similar akready</t>
  </si>
  <si>
    <t>Fraser Burns</t>
  </si>
  <si>
    <t>Sulzer</t>
  </si>
  <si>
    <t>20 Dec - Send Fraser details.. presentation, price booklet, setup in person visit in January.  He's been set up with a mini account, and loves it.  Next step - follow up in a couple of weeks.  03 March - fraser left Sulzer.</t>
  </si>
  <si>
    <t>David Tawse</t>
  </si>
  <si>
    <t>Nimbus Blue</t>
  </si>
  <si>
    <t>Saw the CVS press release</t>
  </si>
  <si>
    <t>07 Oct Teams call booked for 22nd October (the guy is on holiday).  30 Oct - Nick advises that the meeting was a waste of time - the guy provides outsourced IT support and was curious.</t>
  </si>
  <si>
    <t>Mick Jones</t>
  </si>
  <si>
    <t>ESS</t>
  </si>
  <si>
    <t>Charlene Currie</t>
  </si>
  <si>
    <t xml:space="preserve">CEO </t>
  </si>
  <si>
    <t>Fueltone</t>
  </si>
  <si>
    <t>Chemical Engineering</t>
  </si>
  <si>
    <t>Alex Louden</t>
  </si>
  <si>
    <t>Ventures and Open Innovation</t>
  </si>
  <si>
    <t>I've sent Alex a presentation.  Note that Orsted already has somethig similar.</t>
  </si>
  <si>
    <t>Ed Moller (old - do not use)</t>
  </si>
  <si>
    <t>Head of Strategy - Energy</t>
  </si>
  <si>
    <t>Harland &amp; Wolff</t>
  </si>
  <si>
    <t>Nick and Moray presented to Ed today - he was most impresed, wants us to present to their sales director, general manager, manager of Methil yard.  18 May - H&amp;W rumoured to be on th brink of going bust again.</t>
  </si>
  <si>
    <t>Richard Main</t>
  </si>
  <si>
    <t>Seatronics</t>
  </si>
  <si>
    <t>wants a presentation</t>
  </si>
  <si>
    <t>Richard loved the system - action 1 - update roadmap based on Nicks notes.  Reach out to Chris Gordon to schedule a discovery call for custom software.  Send deck plus starter kit brochure to all attendees.  Wmail them 09 May.  18 May - note that we've heard that Seatronics is for sale, will hold everything up, they wont want to spend any money.  4 Jun - i've messaged Chris &amp; Waqas to find out if they want a free enterprise-grade mAint.  10 jul - i've let them know about mAint Quiz.  11 Dec -  Richard has left, and Seatronics is now owned by Venterra.</t>
  </si>
  <si>
    <t>Rhiannon</t>
  </si>
  <si>
    <t>Buchan Offshore Wind</t>
  </si>
  <si>
    <t>Interested - will speak to his peers.  24 April - I've emailed Adam again.  I've offered him a Starter Kit.  26 April - he's going to try and set up a demo with his team.  7 May - we had a demo with Catriona Munro today - she was impressed - they've given us a 500 page doc we can use to show off the project, and will organise a further demo.  Interest in it for engagement purposes, and for interrogating docs.  Suggested they submit documents to the Scottish Government on it so they can interrogate them, and in the background we can tell them what questions are being raised.  13 May - Catriona mailed - the software has been well received, pick up discussions later in Summer.  12 Aug - i've followed up on the proposal we provided, asked for a meeting.  12 Aug - we weren't asked to tender.</t>
  </si>
  <si>
    <t>Control Valve Solutions</t>
  </si>
  <si>
    <t>Hi Moray, thanks for the message.  I uploaded a product bulletin and played around with it, it works really well.  The navigation could be a little better and user friendly, but I guess that will be a case of just getting used to it.  How long are you going to keep it free?  19 Mar - i've dropped him a note to let im know we will be in Aberdeen.  20 March - we're meeting him at 1330 on Friday 22 March in Altens, Aberdeen..  22 March - met with Mick and Mike Guy, (Ops Director) - they lvoed it.  looking at plugin to IMS, training &amp; competence support (Quiz &amp; Learn).  Action is on us to give them a proposal.  22 April - we think they're developing their own in-house system, but i've followed up.  24 April - Nick has also followed up..........  30 april - mick has asked us to do a demo for Fisher actuators, and has asked us to quote for integration into his CVS Manager system.  22 Aug - Nick and I are in Aberdeen next week, to take pics for the press release.  06 Sept - Mick has asked us to invoice the licence quarterly - ive said ok, if cash is tight for him, out of goodwill.  I've also sent a screen shot of a valve condition assessment.  11 Sept - action is for Nick to send Mick the invoice.  23 sept - nick to provide bank details again.   17 Oct -i messaged Mick to ask for an intro to Fisher, Curtiss Wright, etc.  26 Nov - i've let him know that they have access to better features in the web app and in Kensit - hes acknolwedged the email.  21 Jan - ive emailed Mick with an update, free access to Kensit.  27 Jan - Mick responded.  11 Feb - Nick and I are meeting Mick on the 18th Feb.  18 Feb - Mick was positive about mAint and us.  They got great feedbackfrom Dana on mAint.  We're giving him Kensit - 'a ton of credits' (whatever that means).  19 May - we've told him about mAint INspect.  04 June - Mick tells us he wants to end the arrangement; we've offered to suspend invoicing for 3 months and discuss whether Inspect would be useful.</t>
  </si>
  <si>
    <t>Kurt Wilhelmsen</t>
  </si>
  <si>
    <t>UniSea</t>
  </si>
  <si>
    <t>Shipping</t>
  </si>
  <si>
    <t>not interested.</t>
  </si>
  <si>
    <t>Ryan Mowat</t>
  </si>
  <si>
    <t>Director of Innovation</t>
  </si>
  <si>
    <t>RS Aqua</t>
  </si>
  <si>
    <t>Emailed afrer intro</t>
  </si>
  <si>
    <t>Floor</t>
  </si>
  <si>
    <t>Periplus Group</t>
  </si>
  <si>
    <t>26 Sept - Met with the Periplus guys in Hamburg, they're interested in Moray consulting for them, and also potentially in adding some AI sparkle to their GIS system.  They have provided us with a load of data for us to take a look at - we need to get back to them.  they seem close with a software business called Twindo, who. work with DHR DWT. 18 Nov - Floor is chasing.  29 Nov - Periplus confirmed to Nick that they're not going to continue looking at our AI.</t>
  </si>
  <si>
    <t>Lynsay Emmrich</t>
  </si>
  <si>
    <t>Global product manager upper limb prosthetic solutions</t>
  </si>
  <si>
    <t>OSSUR</t>
  </si>
  <si>
    <t>Healthcare</t>
  </si>
  <si>
    <t>they are considering it, are really interested in embeddable and also being able to include it in an app for the end users.  Embedded section for a manual in their app, bypassing the PDF.  Next action - she will do some testing, get others to test.  If she doesnt come back, we'll not pester her again.  30 april - thye have just bought an alternative system.</t>
  </si>
  <si>
    <t>David Siudej, Dale Williamson</t>
  </si>
  <si>
    <t>Country Manager</t>
  </si>
  <si>
    <t>NOR rental</t>
  </si>
  <si>
    <t>set up a meeting.  18 Feb - David never responded.  We showed Dale today - he liked it - will setup a demo for us with Norway.  I've sent him a linkedin request.  10 Mar - ive messaged Dale via LI.  20 Mar - Dale responded (LI) - spoke with Norway, theyre not interested.</t>
  </si>
  <si>
    <t>Sovereign AI</t>
  </si>
  <si>
    <t>10 Sept - we submitted this brutal application for Sov Ai development, for mAint Triage.  Innovate UK looked over it a couple of times for us.  120k application, we'd get 84k of that, '25%' chance of success according to them.</t>
  </si>
  <si>
    <t>Billy Stevenson</t>
  </si>
  <si>
    <t>31 Mar - I've messaged Billy about CPH / mAint inspect.</t>
  </si>
  <si>
    <t>Y Combinator</t>
  </si>
  <si>
    <t>YC</t>
  </si>
  <si>
    <t>Tech</t>
  </si>
  <si>
    <t>30 April - we submitted our aplication a couple of days ago.  We should hear by 11 June.  10 June - unsuccessful.</t>
  </si>
  <si>
    <t>Manchester Awards</t>
  </si>
  <si>
    <t>13 Jan - we have submitted the application for the Manchester awards, £100k followed by potential of £1M prize.  30 April - we were unsuccessful.</t>
  </si>
  <si>
    <t>masood ahmed</t>
  </si>
  <si>
    <t>Industrial Manager - UAE</t>
  </si>
  <si>
    <t>12 Nove - met him at adipec, have emailed.</t>
  </si>
  <si>
    <t>Jochem van Lith</t>
  </si>
  <si>
    <t>jochem.vanlith@shell.com</t>
  </si>
  <si>
    <t>Liz Haro</t>
  </si>
  <si>
    <t>21 Jul - we showed Liz &amp; team the system in March, and have followed up with the Raytheon press release.</t>
  </si>
  <si>
    <t>Ork24</t>
  </si>
  <si>
    <t>West of Orkney</t>
  </si>
  <si>
    <t>OWF project.  Donald Budge has moved on?</t>
  </si>
  <si>
    <t>G31</t>
  </si>
  <si>
    <t>VPESS</t>
  </si>
  <si>
    <t>Rental Company.</t>
  </si>
  <si>
    <t>D50</t>
  </si>
  <si>
    <t>Thrive</t>
  </si>
  <si>
    <t>develop and operate WTG's.</t>
  </si>
  <si>
    <t>Benn</t>
  </si>
  <si>
    <t>G19</t>
  </si>
  <si>
    <t>Renewable Field Services</t>
  </si>
  <si>
    <t>WTG and blade service.</t>
  </si>
  <si>
    <t>J49</t>
  </si>
  <si>
    <t>Realise</t>
  </si>
  <si>
    <t>WTG Service co.</t>
  </si>
  <si>
    <t>J11</t>
  </si>
  <si>
    <t>Muirhall</t>
  </si>
  <si>
    <t>Wind developer based in Lanarkshire.</t>
  </si>
  <si>
    <t>F51</t>
  </si>
  <si>
    <t>wind, solar, bess, H2 onshore UK.  Consultancy.  Innovation.</t>
  </si>
  <si>
    <t>G48</t>
  </si>
  <si>
    <t>Kraken Robotics</t>
  </si>
  <si>
    <t>Underwater robotics.</t>
  </si>
  <si>
    <t>P40</t>
  </si>
  <si>
    <t>Hydrus</t>
  </si>
  <si>
    <t>Paul Yeats</t>
  </si>
  <si>
    <t>N38</t>
  </si>
  <si>
    <t>GE Vernova</t>
  </si>
  <si>
    <t>Q30</t>
  </si>
  <si>
    <t>Galetech</t>
  </si>
  <si>
    <t>Cant tell what they do from their listing.</t>
  </si>
  <si>
    <t>L39</t>
  </si>
  <si>
    <t>Gael Energy</t>
  </si>
  <si>
    <t>G20</t>
  </si>
  <si>
    <t>R28</t>
  </si>
  <si>
    <t>Conrad Energy</t>
  </si>
  <si>
    <t>own and operate wind, solar, BESS</t>
  </si>
  <si>
    <t>E28</t>
  </si>
  <si>
    <t>distributor of engines.</t>
  </si>
  <si>
    <t>shubham Rajvanshi</t>
  </si>
  <si>
    <t>L&amp;T</t>
  </si>
  <si>
    <t>shubham.rajvanshi@ltts.com</t>
  </si>
  <si>
    <t>Amit Kar</t>
  </si>
  <si>
    <t xml:space="preserve">Global Digital Transformation Leader </t>
  </si>
  <si>
    <t>Schneider Electric</t>
  </si>
  <si>
    <t>amit.kar@se.com</t>
  </si>
  <si>
    <t>Netherlands Trip 14, 15 January</t>
  </si>
  <si>
    <t>Flight Arrives</t>
  </si>
  <si>
    <t>Ask Elke Croonen</t>
  </si>
  <si>
    <t>Ask Full Circle</t>
  </si>
  <si>
    <t>Meeting at EWT (Amersfoort)</t>
  </si>
  <si>
    <t>Leave EWT</t>
  </si>
  <si>
    <t>meeting at Fugro (Nootdorp).</t>
  </si>
  <si>
    <t>Fon energy services, Ijmuiden</t>
  </si>
  <si>
    <t>Hotel - Van Der Valk, Amersfoort</t>
  </si>
  <si>
    <t>Flight Home</t>
  </si>
  <si>
    <t>Topic</t>
  </si>
  <si>
    <t>Action</t>
  </si>
  <si>
    <t xml:space="preserve">Who </t>
  </si>
  <si>
    <t>by</t>
  </si>
  <si>
    <t>ScotAi</t>
  </si>
  <si>
    <t>Website copy for new products and case studies</t>
  </si>
  <si>
    <t>Both</t>
  </si>
  <si>
    <t>Website copy for new mAint</t>
  </si>
  <si>
    <t>Case Study - EWMG</t>
  </si>
  <si>
    <t>Case Study - Raytheon Press Release</t>
  </si>
  <si>
    <t>Case Study - GreenCat</t>
  </si>
  <si>
    <t>Liability Insurance</t>
  </si>
  <si>
    <t>SE Tender Lot 8</t>
  </si>
  <si>
    <t>Year in Review Email to all leads</t>
  </si>
  <si>
    <t>Update new customer logos</t>
  </si>
  <si>
    <t>2026 Event Planning</t>
  </si>
  <si>
    <t>2026 Marketing and GTM Planning</t>
  </si>
  <si>
    <t>Start Date</t>
  </si>
  <si>
    <t>End Date</t>
  </si>
  <si>
    <t>Onshore / Offshore</t>
  </si>
  <si>
    <t>Event</t>
  </si>
  <si>
    <t>Conf / exhib / both / Dinner</t>
  </si>
  <si>
    <t>Location</t>
  </si>
  <si>
    <t>Venue</t>
  </si>
  <si>
    <t>Cost</t>
  </si>
  <si>
    <t>Interesting?</t>
  </si>
  <si>
    <t>Recommendation: Visit / Exhibit?</t>
  </si>
  <si>
    <t>AREG Scottish Energy Futures</t>
  </si>
  <si>
    <t>P&amp;J Live</t>
  </si>
  <si>
    <t>Onshore</t>
  </si>
  <si>
    <t>Onshore Wind 2024</t>
  </si>
  <si>
    <t>conf</t>
  </si>
  <si>
    <t>Edinburgh</t>
  </si>
  <si>
    <t>EICC</t>
  </si>
  <si>
    <t>both</t>
  </si>
  <si>
    <t>Smart &amp; sustainable O&amp;M</t>
  </si>
  <si>
    <t>Hull</t>
  </si>
  <si>
    <t>Aura Innovation Centre</t>
  </si>
  <si>
    <t>OEUK Conference</t>
  </si>
  <si>
    <t>Conf</t>
  </si>
  <si>
    <t>SUT Gadgets and Widgets</t>
  </si>
  <si>
    <t>Mannofield CC.</t>
  </si>
  <si>
    <t>Cables 2024</t>
  </si>
  <si>
    <t>Bristol</t>
  </si>
  <si>
    <t>Marriott Royal Hotel</t>
  </si>
  <si>
    <t>275/445</t>
  </si>
  <si>
    <t>Subsea Cables Insurance Conference &amp; Workshop</t>
  </si>
  <si>
    <t>Wind Energy</t>
  </si>
  <si>
    <t>Hamburg Messe</t>
  </si>
  <si>
    <t>Subsea Defence</t>
  </si>
  <si>
    <t>Glasgow</t>
  </si>
  <si>
    <t>unknown</t>
  </si>
  <si>
    <t>OEUK Wells Conference</t>
  </si>
  <si>
    <t>Union Kirk</t>
  </si>
  <si>
    <t>Floating Offshore Wind</t>
  </si>
  <si>
    <t>Scottish Manufacturing and Supply Chain</t>
  </si>
  <si>
    <t>SECC</t>
  </si>
  <si>
    <t>Advanced Engineering</t>
  </si>
  <si>
    <t>Birmingham</t>
  </si>
  <si>
    <t>NEC</t>
  </si>
  <si>
    <t>Offshore Wind North East</t>
  </si>
  <si>
    <t>Sunderland</t>
  </si>
  <si>
    <t>Stadium of Light</t>
  </si>
  <si>
    <t xml:space="preserve">Offshore </t>
  </si>
  <si>
    <t>OSEA</t>
  </si>
  <si>
    <t>MBS</t>
  </si>
  <si>
    <t>underwater robotics</t>
  </si>
  <si>
    <t>GUH?</t>
  </si>
  <si>
    <t>offshore Energy</t>
  </si>
  <si>
    <t>Amsterdam</t>
  </si>
  <si>
    <t>RAI</t>
  </si>
  <si>
    <t>OEUK Awards Dinner</t>
  </si>
  <si>
    <t>Diner</t>
  </si>
  <si>
    <t>Valve World</t>
  </si>
  <si>
    <t>Dusseldorf</t>
  </si>
  <si>
    <t>Messe Dusseldorf</t>
  </si>
  <si>
    <t>Offshore Wind Conference</t>
  </si>
  <si>
    <t>Subsea Expo</t>
  </si>
  <si>
    <t>Energy Transition Showcase</t>
  </si>
  <si>
    <t>Ocean Business</t>
  </si>
  <si>
    <t>Southampton</t>
  </si>
  <si>
    <t>NOC</t>
  </si>
  <si>
    <t xml:space="preserve">both </t>
  </si>
  <si>
    <t>Pipeline Tech Conference</t>
  </si>
  <si>
    <t>Berlin</t>
  </si>
  <si>
    <t>Global Offshore Wind</t>
  </si>
  <si>
    <t>London</t>
  </si>
  <si>
    <t>ExCel</t>
  </si>
  <si>
    <t>Offshore Europe</t>
  </si>
  <si>
    <t>Integration of Management Systems</t>
  </si>
  <si>
    <t>Core Management System Components</t>
  </si>
  <si>
    <t>Applicability of existing Modules. 1= low 5=high</t>
  </si>
  <si>
    <t>mAInt Smart Manuals</t>
  </si>
  <si>
    <t>Needed for improvement</t>
  </si>
  <si>
    <t>mAint Assess</t>
  </si>
  <si>
    <t>HR Toolkit</t>
  </si>
  <si>
    <t>On Cloud</t>
  </si>
  <si>
    <t>On Prem</t>
  </si>
  <si>
    <r>
      <t>Quality Management System (ISO 9001)</t>
    </r>
    <r>
      <rPr>
        <sz val="12"/>
        <color theme="1"/>
        <rFont val="Aptos Narrow"/>
        <family val="2"/>
        <scheme val="minor"/>
      </rPr>
      <t xml:space="preserve"> The quality management foundation ensures consistent product and service delivery through process standardization, continuous improvement cycles, and customer satisfaction metrics. </t>
    </r>
  </si>
  <si>
    <t>Roles &amp; responsibilities, Processes and procedures</t>
  </si>
  <si>
    <t>good for testing knowledge</t>
  </si>
  <si>
    <t xml:space="preserve">will be good </t>
  </si>
  <si>
    <t>Not Applicable</t>
  </si>
  <si>
    <t>Not Applicable - but would advise changes in best practice</t>
  </si>
  <si>
    <t>Needs developed.</t>
  </si>
  <si>
    <t>Good but there's a cost and hacking</t>
  </si>
  <si>
    <t>secure, no cloud costs.</t>
  </si>
  <si>
    <t>Advanced functionality includes real-time quality monitoring, automated non-conformance tracking, supplier quality scorecards, and predictive quality analytics that identify potential issues before they impact production.</t>
  </si>
  <si>
    <r>
      <t>Environmental Management System (ISO 14001)</t>
    </r>
    <r>
      <rPr>
        <sz val="12"/>
        <color theme="1"/>
        <rFont val="Aptos Narrow"/>
        <family val="2"/>
        <scheme val="minor"/>
      </rPr>
      <t xml:space="preserve"> Environmental compliance and sustainability management track resource consumption, waste generation, emissions monitoring, and regulatory compliance. </t>
    </r>
  </si>
  <si>
    <t>Optimal functionality features automated environmental data collection from IoT sensors, carbon footprint calculations, real-time emissions monitoring, environmental impact assessments, and automated regulatory reporting to multiple jurisdictions.</t>
  </si>
  <si>
    <r>
      <t>Occupational Health &amp; Safety Management (ISO 45001)</t>
    </r>
    <r>
      <rPr>
        <sz val="12"/>
        <color theme="1"/>
        <rFont val="Aptos Narrow"/>
        <family val="2"/>
        <scheme val="minor"/>
      </rPr>
      <t xml:space="preserve"> Comprehensive safety management encompasses incident reporting, hazard identification, risk assessments, safety training records, and emergency response procedures. </t>
    </r>
  </si>
  <si>
    <t>ability to photograph worksite ti improve EHS</t>
  </si>
  <si>
    <t>Advanced capabilities include predictive safety analytics, real-time personal protective equipment monitoring, automated safety inspection workflows, integration with wearable safety devices, and AI-powered near-miss detection.</t>
  </si>
  <si>
    <r>
      <t>Information Security Management System (ISO 27001)</t>
    </r>
    <r>
      <rPr>
        <sz val="12"/>
        <color theme="1"/>
        <rFont val="Aptos Narrow"/>
        <family val="2"/>
        <scheme val="minor"/>
      </rPr>
      <t xml:space="preserve"> Cybersecurity framework protecting critical industrial systems through access controls, threat monitoring, vulnerability management, and incident response.</t>
    </r>
  </si>
  <si>
    <t xml:space="preserve"> Enhanced functionality provides continuous security monitoring, automated threat detection, integration with industrial control systems security, real-time compliance dashboards, and advanced threat intelligence feeds.</t>
  </si>
  <si>
    <t>Operational Excellence Components</t>
  </si>
  <si>
    <r>
      <t>Asset Management System (ISO 55001)</t>
    </r>
    <r>
      <rPr>
        <sz val="12"/>
        <color theme="1"/>
        <rFont val="Aptos Narrow"/>
        <family val="2"/>
        <scheme val="minor"/>
      </rPr>
      <t xml:space="preserve"> Complete asset lifecycle management from acquisition through disposal, including maintenance scheduling, performance monitoring, and replacement planning. </t>
    </r>
  </si>
  <si>
    <t>Advanced features encompass predictive maintenance algorithms, IoT sensor integration, digital twin capabilities, automated work order generation, and asset performance optimization recommendations.</t>
  </si>
  <si>
    <r>
      <t>Business Continuity Management (ISO 22301)</t>
    </r>
    <r>
      <rPr>
        <sz val="12"/>
        <color theme="1"/>
        <rFont val="Aptos Narrow"/>
        <family val="2"/>
        <scheme val="minor"/>
      </rPr>
      <t xml:space="preserve"> Comprehensive resilience planning covering risk assessment, business impact analysis, crisis management, and recovery procedures. </t>
    </r>
  </si>
  <si>
    <t>Optimal functionality includes scenario planning simulations, automated failover procedures, real-time crisis communication systems, supply chain resilience monitoring, and dynamic recovery time objective tracking.</t>
  </si>
  <si>
    <r>
      <t>Energy Management System (ISO 50001)</t>
    </r>
    <r>
      <rPr>
        <sz val="12"/>
        <color theme="1"/>
        <rFont val="Aptos Narrow"/>
        <family val="2"/>
        <scheme val="minor"/>
      </rPr>
      <t xml:space="preserve"> Energy efficiency optimization through consumption monitoring, efficiency improvements, and sustainability initiatives. </t>
    </r>
  </si>
  <si>
    <t>Advanced capabilities feature real-time energy analytics, automated demand response, energy forecasting models, carbon accounting integration, and renewable energy optimization algorithms.</t>
  </si>
  <si>
    <t>Regulatory and Compliance Components</t>
  </si>
  <si>
    <r>
      <t>Risk Management Framework</t>
    </r>
    <r>
      <rPr>
        <sz val="12"/>
        <color theme="1"/>
        <rFont val="Aptos Narrow"/>
        <family val="2"/>
        <scheme val="minor"/>
      </rPr>
      <t xml:space="preserve"> Enterprise-wide risk identification, assessment, mitigation, and monitoring across all operational domains. .</t>
    </r>
  </si>
  <si>
    <t>Enhanced functionality provides integrated risk heat maps, automated control effectiveness testing, regulatory change impact analysis, and predictive risk modeling using machine learning algorithms</t>
  </si>
  <si>
    <r>
      <t>Regulatory Compliance Management</t>
    </r>
    <r>
      <rPr>
        <sz val="12"/>
        <color theme="1"/>
        <rFont val="Aptos Narrow"/>
        <family val="2"/>
        <scheme val="minor"/>
      </rPr>
      <t xml:space="preserve"> Comprehensive tracking of regulatory requirements across multiple jurisdictions, with automated updates and compliance monitoring. </t>
    </r>
  </si>
  <si>
    <t>Advanced features include regulatory intelligence feeds, automated compliance testing, exception management workflows, and predictive compliance risk assessments.</t>
  </si>
  <si>
    <r>
      <t>Audit Management System</t>
    </r>
    <r>
      <rPr>
        <sz val="12"/>
        <color theme="1"/>
        <rFont val="Aptos Narrow"/>
        <family val="2"/>
        <scheme val="minor"/>
      </rPr>
      <t xml:space="preserve"> Integrated internal and external audit planning, execution, and follow-up across all management system components. </t>
    </r>
  </si>
  <si>
    <t>Optimal functionality encompasses automated audit scheduling, mobile audit applications, real-time finding tracking, corrective action management, and audit analytics for trend identification.</t>
  </si>
  <si>
    <t>Operational Integration Components</t>
  </si>
  <si>
    <r>
      <t>Document and Records Management</t>
    </r>
    <r>
      <rPr>
        <sz val="12"/>
        <color theme="1"/>
        <rFont val="Aptos Narrow"/>
        <family val="2"/>
        <scheme val="minor"/>
      </rPr>
      <t xml:space="preserve"> Centralized control of all system documentation with version control, access management, and retention scheduling. </t>
    </r>
  </si>
  <si>
    <t>Advanced capabilities include automated document workflows, electronic signatures, integration with operational systems, intelligent document search, and compliance-driven retention policies.</t>
  </si>
  <si>
    <r>
      <t>Training and Competency Management</t>
    </r>
    <r>
      <rPr>
        <sz val="12"/>
        <color theme="1"/>
        <rFont val="Aptos Narrow"/>
        <family val="2"/>
        <scheme val="minor"/>
      </rPr>
      <t xml:space="preserve"> Comprehensive personnel development tracking including skills assessment, training delivery, competency verification, and certification management. </t>
    </r>
  </si>
  <si>
    <t>Enhanced functionality features personalized learning paths, virtual reality training modules, competency gap analysis, automated certification renewals, and integration with operational safety systems.</t>
  </si>
  <si>
    <r>
      <t>Supplier and Contractor Management</t>
    </r>
    <r>
      <rPr>
        <sz val="12"/>
        <color theme="1"/>
        <rFont val="Aptos Narrow"/>
        <family val="2"/>
        <scheme val="minor"/>
      </rPr>
      <t xml:space="preserve"> Complete vendor lifecycle management including qualification, performance monitoring, contract management, and risk assessment. </t>
    </r>
  </si>
  <si>
    <t>Advanced features encompass automated supplier scorecards, real-time performance dashboards, supply chain risk monitoring, and integration with procurement and quality systems.</t>
  </si>
  <si>
    <t>Advanced Analytics and Intelligence</t>
  </si>
  <si>
    <r>
      <t>Performance Dashboard and Analytics</t>
    </r>
    <r>
      <rPr>
        <sz val="12"/>
        <color theme="1"/>
        <rFont val="Aptos Narrow"/>
        <family val="2"/>
        <scheme val="minor"/>
      </rPr>
      <t xml:space="preserve"> Real-time operational intelligence combining data from all IMS components into executive dashboards, operational scorecards, and predictive analytics. </t>
    </r>
  </si>
  <si>
    <t>Optimal functionality includes customizable role-based dashboards, automated exception reporting, trend analysis, benchmarking capabilities, and machine learning-powered insights for continuous improvement opportunities.</t>
  </si>
  <si>
    <r>
      <t>Integration and Interoperability Platform</t>
    </r>
    <r>
      <rPr>
        <sz val="12"/>
        <color theme="1"/>
        <rFont val="Aptos Narrow"/>
        <family val="2"/>
        <scheme val="minor"/>
      </rPr>
      <t xml:space="preserve"> Seamless connectivity with existing enterprise systems including ERP, SCADA, MES, and third-party applications. </t>
    </r>
  </si>
  <si>
    <t>Advanced integration capabilities encompass API-first architecture, real-time data synchronization, workflow automation across systems, and support for both cloud and on-premises deployments with hybrid connectivity options.</t>
  </si>
  <si>
    <t>ScotAi Client Evolution</t>
  </si>
  <si>
    <t>Client</t>
  </si>
  <si>
    <t>Product</t>
  </si>
  <si>
    <t>Users (Max)</t>
  </si>
  <si>
    <t>Users (Active)</t>
  </si>
  <si>
    <t>PO Value</t>
  </si>
  <si>
    <t>Comment</t>
  </si>
  <si>
    <t>Frisch</t>
  </si>
  <si>
    <t>PO was basically a favour</t>
  </si>
  <si>
    <t>Small company</t>
  </si>
  <si>
    <t>renewal.  Considering competency management system.</t>
  </si>
  <si>
    <t>HVMC</t>
  </si>
  <si>
    <t>one-off supply of reports</t>
  </si>
  <si>
    <t>AKVA</t>
  </si>
  <si>
    <t>Considering wider roll out</t>
  </si>
  <si>
    <t xml:space="preserve">Control Valve Solutions </t>
  </si>
  <si>
    <t>Looks like they wont be renewing.</t>
  </si>
  <si>
    <t>Will be renewing.  Have provided pricing for a 15-year contract.</t>
  </si>
  <si>
    <t>Centurion</t>
  </si>
  <si>
    <t>Potential for a full BMS.</t>
  </si>
  <si>
    <t>Green Cat</t>
  </si>
  <si>
    <t>UK Nat Nuclear Lab</t>
  </si>
  <si>
    <t>Eastern Western</t>
  </si>
  <si>
    <t>Bespoke Dev</t>
  </si>
  <si>
    <t>Annual subscription.</t>
  </si>
  <si>
    <t>Aurora Energy</t>
  </si>
  <si>
    <t>AurAi Wind</t>
  </si>
  <si>
    <t xml:space="preserve">Marketing </t>
  </si>
  <si>
    <t>Fundamental role</t>
  </si>
  <si>
    <t>Add value to ScotAi by increasing inbound requests for demos.  Raise brand awareness.  Contribute to the teams understanding of what we're doing.</t>
  </si>
  <si>
    <t>Reporting</t>
  </si>
  <si>
    <t>Pratik reports to Moray, however this is a team role.  Participate in daily call with the dev team.</t>
  </si>
  <si>
    <t>Target Industries</t>
  </si>
  <si>
    <t xml:space="preserve">Ideal Cmpany Size (employees) </t>
  </si>
  <si>
    <t>Sector</t>
  </si>
  <si>
    <t>Minimum</t>
  </si>
  <si>
    <t>Maximum</t>
  </si>
  <si>
    <t>Typical Decision Makers</t>
  </si>
  <si>
    <t>Typical Influencers</t>
  </si>
  <si>
    <t>Geography</t>
  </si>
  <si>
    <t>Oil &amp; Gas, Wind, Aquaculture, Subsea</t>
  </si>
  <si>
    <t>Any technical equipment sector. Manufacturers of engineered / technology products</t>
  </si>
  <si>
    <t>CEO, CIO, COO</t>
  </si>
  <si>
    <t>IT, Operations Managers, Innovation Managers</t>
  </si>
  <si>
    <t>UK, USA, UAE, KSA, Australia, Canada</t>
  </si>
  <si>
    <t>Defence, Policing, Nuclear</t>
  </si>
  <si>
    <t>Unlimited</t>
  </si>
  <si>
    <t>Super critical applications</t>
  </si>
  <si>
    <t>CEO, CIO</t>
  </si>
  <si>
    <t>IT, Operations Managers, Innovations Manager</t>
  </si>
  <si>
    <t>All; Nuclear.</t>
  </si>
  <si>
    <t>Large companies</t>
  </si>
  <si>
    <t>CMO</t>
  </si>
  <si>
    <t>Oil &amp; gas, Wind</t>
  </si>
  <si>
    <t>it's an API service for other software developers.</t>
  </si>
  <si>
    <t>CIO, Product Architect</t>
  </si>
  <si>
    <t>Developers</t>
  </si>
  <si>
    <t>Bespoke Software</t>
  </si>
  <si>
    <t>Any</t>
  </si>
  <si>
    <t>Marketing</t>
  </si>
  <si>
    <t>Our Software &amp; Websites</t>
  </si>
  <si>
    <t>Week Commencing</t>
  </si>
  <si>
    <t>Actions</t>
  </si>
  <si>
    <t>Last Action</t>
  </si>
  <si>
    <t>status</t>
  </si>
  <si>
    <t>next action</t>
  </si>
  <si>
    <t>next action date</t>
  </si>
  <si>
    <t>Next action</t>
  </si>
  <si>
    <t>Next action date</t>
  </si>
  <si>
    <t>Next Action Status</t>
  </si>
  <si>
    <t>Next Action Date</t>
  </si>
  <si>
    <t>Next Action</t>
  </si>
  <si>
    <t>ScotAi email etc onboarding</t>
  </si>
  <si>
    <t>Complete</t>
  </si>
  <si>
    <t>Become familiar with mAint</t>
  </si>
  <si>
    <t>Ongoing</t>
  </si>
  <si>
    <t>gone through mAint</t>
  </si>
  <si>
    <t>Become familiar with Kensit</t>
  </si>
  <si>
    <t>gone through Kensit</t>
  </si>
  <si>
    <t>Research ScotAi ideal customer profile</t>
  </si>
  <si>
    <t>Website Audit</t>
  </si>
  <si>
    <t>All our websites are hard coded, so please just create a word document with extraction of the website text and what you think it should be - we'll make the changes in the backend.</t>
  </si>
  <si>
    <t>Meta tags to Rakesh</t>
  </si>
  <si>
    <t>Drafted</t>
  </si>
  <si>
    <t>Technical SEO part is completed by Rakesh. I'll work on On-page SEO (changes need to make on the pages main page &amp; landing page)</t>
  </si>
  <si>
    <t>I'll go through all the pages of scotai's website &amp; I'll check &amp; make a list of things we need to change or update.</t>
  </si>
  <si>
    <t>Access to LI Page</t>
  </si>
  <si>
    <t>Please don’t post without showing Nick or Moray first.</t>
  </si>
  <si>
    <t>Access to YouTube</t>
  </si>
  <si>
    <t>ScotAi.tech SEO</t>
  </si>
  <si>
    <t>Has been provided to Rakesh</t>
  </si>
  <si>
    <t>Discussed with Rakesh  regarding the scotai.tech main page changes needs to done Complete technical SEO.</t>
  </si>
  <si>
    <t>Follow up with Rakesh</t>
  </si>
  <si>
    <t>Given All the Checklists to Rakesh &amp; he Started Working On Technical SEO</t>
  </si>
  <si>
    <t>Follow Up With Rakesh</t>
  </si>
  <si>
    <t>Technical SEO Part Completed</t>
  </si>
  <si>
    <t>Need to start On-page SEO, adding keywords on the written content on Scotai's main page</t>
  </si>
  <si>
    <t>Prepared the checklist report regarding updation/changes on the web pages. Need to discuss the report with Moray &amp; Nick</t>
  </si>
  <si>
    <t>Submitted the ScotAi website updation report to Moray.</t>
  </si>
  <si>
    <t>Rakesh will add blog section</t>
  </si>
  <si>
    <t>I am Preparing a blog to upload as a first blog on our website's blog section</t>
  </si>
  <si>
    <t>Blog Section is Added. Our first blog is Green Cat Renewables partners with ScotAi</t>
  </si>
  <si>
    <t>mAint.World SEO</t>
  </si>
  <si>
    <t>prepared keywords</t>
  </si>
  <si>
    <t>preparing the lists what needs to be changed for SEO purpose .  Complete technical SEO.</t>
  </si>
  <si>
    <t>Need to start On-page SEO, adding keywords on the written content on mAint  page</t>
  </si>
  <si>
    <t>Kensit.World SEO</t>
  </si>
  <si>
    <t>preparing the lists what needs to be changed for SEO purpose Complete technical SEO.</t>
  </si>
  <si>
    <t>Need to start On-page SEO, adding keywords on the written content on kensit  page</t>
  </si>
  <si>
    <t>ScotAi.tech Landing Page redesign / update</t>
  </si>
  <si>
    <t>Rakesh will add blog section once we provide him content for blog</t>
  </si>
  <si>
    <t>Blog Drafting Completed &amp; Images also prepared</t>
  </si>
  <si>
    <t xml:space="preserve">Need to provide blog &amp; images to Rakesh/Nick , to push it to the blog section </t>
  </si>
  <si>
    <t>Follow Up with Rakesh/Nick</t>
  </si>
  <si>
    <t>mAint.World redesign / update</t>
  </si>
  <si>
    <t>Paragraph required for mAint - Moray.</t>
  </si>
  <si>
    <t xml:space="preserve">Preview Video needs to be updated </t>
  </si>
  <si>
    <t>Kensit.World redesign / update</t>
  </si>
  <si>
    <t>mAintPrism / Create website</t>
  </si>
  <si>
    <t>Sample text has been created.  Need a domain etc.</t>
  </si>
  <si>
    <t>Social Media</t>
  </si>
  <si>
    <t>LinkedIn posts plan</t>
  </si>
  <si>
    <t>Completed</t>
  </si>
  <si>
    <t>Working On Monday Blog</t>
  </si>
  <si>
    <t>Created the title for the blog</t>
  </si>
  <si>
    <t>Drafted first part of the blog</t>
  </si>
  <si>
    <t>Complete the blog by friday/saturday i.e., 19th/20th Jun</t>
  </si>
  <si>
    <t>Prepared blog for Thurday (3rd July, 2025) LinkedIn Blog. Need  to get approved from Moray</t>
  </si>
  <si>
    <t>Blog Posted on Thursday i.e., 3rd July, 2025</t>
  </si>
  <si>
    <t>Prepare a plan for LinkedIn post for commimg weeks</t>
  </si>
  <si>
    <t>Prepared the plan. need to discuss it with Moray</t>
  </si>
  <si>
    <t>Prepared a LinkedIn post (Tuesday Post) along with image, send to Moray. Need to discuss it with Moray on Monday.</t>
  </si>
  <si>
    <t xml:space="preserve">Need to prepare a video for LinkedIn, regarding Nick &amp; Moray experience at DSET event </t>
  </si>
  <si>
    <t>You Tube Posts Plan</t>
  </si>
  <si>
    <t>Not Commenced</t>
  </si>
  <si>
    <t>Research ScotAi Ideal Customer Profile</t>
  </si>
  <si>
    <t>Become familiar with Reddit</t>
  </si>
  <si>
    <t>Product Improvements</t>
  </si>
  <si>
    <t>Product feedback form</t>
  </si>
  <si>
    <t>Client onboarding form</t>
  </si>
  <si>
    <t>Events</t>
  </si>
  <si>
    <t>DSET plan (defence exhibition).</t>
  </si>
  <si>
    <t>Press Releases</t>
  </si>
  <si>
    <t>EWMG Group</t>
  </si>
  <si>
    <t>High</t>
  </si>
  <si>
    <t>Awards</t>
  </si>
  <si>
    <t>C2i  Awards</t>
  </si>
  <si>
    <t>Moray is looking into that</t>
  </si>
  <si>
    <t>Procurement Registeration</t>
  </si>
  <si>
    <t>DAIC</t>
  </si>
  <si>
    <t>G-Cloud</t>
  </si>
  <si>
    <t>Need to add financial statement</t>
  </si>
  <si>
    <t>Google Cloud Scale-Up</t>
  </si>
  <si>
    <t xml:space="preserve">Not Applying </t>
  </si>
  <si>
    <t>Intellectual Property</t>
  </si>
  <si>
    <t>What</t>
  </si>
  <si>
    <t>When</t>
  </si>
  <si>
    <t>Who</t>
  </si>
  <si>
    <t>mAint Changelog</t>
  </si>
  <si>
    <t>Revision Number</t>
  </si>
  <si>
    <t>2.1.1</t>
  </si>
  <si>
    <t>2.1.2</t>
  </si>
  <si>
    <t>2.1.3</t>
  </si>
  <si>
    <t>2.1.4</t>
  </si>
  <si>
    <t>2.1.5</t>
  </si>
  <si>
    <t>2.1.6</t>
  </si>
  <si>
    <t>Date</t>
  </si>
  <si>
    <t>Description</t>
  </si>
  <si>
    <t>New Features</t>
  </si>
  <si>
    <t>Feature Name</t>
  </si>
  <si>
    <t>Provides ability to generate inspection reports from up to 10 photos.</t>
  </si>
  <si>
    <t>Quizz Module</t>
  </si>
  <si>
    <t>Example</t>
  </si>
  <si>
    <t>User can edit or add defects as required, output in PDF.</t>
  </si>
  <si>
    <t>features included such as sharing quizz to others, deleting questions &amp; can view quizz analytics for single question/whole quizz. Also, we can set quizz for single/multiple attemps</t>
  </si>
  <si>
    <t>Improvements</t>
  </si>
  <si>
    <t>Improvement Name</t>
  </si>
  <si>
    <t xml:space="preserve">1. mAint Inspect
</t>
  </si>
  <si>
    <t xml:space="preserve">1. Client Branding of PDF Inspection Reports
</t>
  </si>
  <si>
    <t>Formatting improvement to branded reports</t>
  </si>
  <si>
    <t>Support Ticket System</t>
  </si>
  <si>
    <t>User can upload logo's to PDF inspection reports.</t>
  </si>
  <si>
    <t>Branded PDF Inspection Reports were split across a page break; this has now been resolved.</t>
  </si>
  <si>
    <t>Users reporting issues within mAint can now instantly generate a support ticket to enable resolution tracking.</t>
  </si>
  <si>
    <t>2. mAint</t>
  </si>
  <si>
    <t>2. CSS Changes to PDF renderer</t>
  </si>
  <si>
    <t xml:space="preserve">Add Defect Improvement </t>
  </si>
  <si>
    <t>Usability improvements to AI document chat experience.</t>
  </si>
  <si>
    <t>Process to add defect to imspection reports has been improved</t>
  </si>
  <si>
    <t>Add Custom Report Fields</t>
  </si>
  <si>
    <t>In addition to being able to add inspector, location, equipment details users can add custom fields for the inspection report.</t>
  </si>
  <si>
    <t>Bug Fixes</t>
  </si>
  <si>
    <t>Bug Fix Description</t>
  </si>
  <si>
    <t>1. Quiz creation in teams</t>
  </si>
  <si>
    <t>Issue preventing users from generating competency tests has been resolved.</t>
  </si>
  <si>
    <t>Impact</t>
  </si>
  <si>
    <t>Users can generate competency tests from any document.</t>
  </si>
  <si>
    <t>Depreciated</t>
  </si>
  <si>
    <t>Removed</t>
  </si>
  <si>
    <t>Security</t>
  </si>
  <si>
    <t>mAint Secure Changelog</t>
  </si>
  <si>
    <t>Release Number</t>
  </si>
  <si>
    <t>0.3.1</t>
  </si>
  <si>
    <t>0.3.3</t>
  </si>
  <si>
    <t>TBD</t>
  </si>
  <si>
    <t>1. Move/Copy/Share
2. File Encoding Detection</t>
  </si>
  <si>
    <t>Usability 1. Chat UI Enhancement
2. Semantic Search context expansion</t>
  </si>
  <si>
    <t>Quality of life improvements to address issues raised by Raytheon.</t>
  </si>
  <si>
    <t>Next JS Bug fixes and minor Patch</t>
  </si>
  <si>
    <t>Kensit Changelog</t>
  </si>
  <si>
    <t>Kensit Credits</t>
  </si>
  <si>
    <t>A glitch meant that users were unbable to distribute Kensit Credits across their organisation.</t>
  </si>
  <si>
    <t>This has been resoved, and users can once more access Kensit market intelligence using credits allocated to them by their Enterprise Administrator.</t>
  </si>
  <si>
    <t>Email distribution Restored</t>
  </si>
  <si>
    <t>Email Sender (Mailgun) had reset all variables for security reasons. These have now all been corrected and required protocols implemented. Email services now restored for briefings and user invitation</t>
  </si>
  <si>
    <t>Prism Changelog</t>
  </si>
  <si>
    <t>Axle Changelog</t>
  </si>
  <si>
    <t>AurAi Changelog</t>
  </si>
  <si>
    <t>ScotAi's Home Page Keywords</t>
  </si>
  <si>
    <t>mAint Keywords</t>
  </si>
  <si>
    <t>mAint secure</t>
  </si>
  <si>
    <t>Industrial AI solutions</t>
  </si>
  <si>
    <t>mAint AI maintenance tool</t>
  </si>
  <si>
    <t>mAint Secure software</t>
  </si>
  <si>
    <t>Kensit market intelligence</t>
  </si>
  <si>
    <t>AI-powered maintenance software</t>
  </si>
  <si>
    <t>AI interpretive maintenance</t>
  </si>
  <si>
    <t>on-premise maintenance AI</t>
  </si>
  <si>
    <t>AI market briefing tool</t>
  </si>
  <si>
    <t>AI data security for industry</t>
  </si>
  <si>
    <t>technical manual AI analysis</t>
  </si>
  <si>
    <t>offline industrial AI security</t>
  </si>
  <si>
    <t>industry insights AI</t>
  </si>
  <si>
    <t>Intelligent maintenance management</t>
  </si>
  <si>
    <t>AI for maintenance documentation</t>
  </si>
  <si>
    <t>containerized AI maintenance</t>
  </si>
  <si>
    <t>market report AI summary</t>
  </si>
  <si>
    <t>ScotAI industrial AI</t>
  </si>
  <si>
    <t>multi-language AI maintenance</t>
  </si>
  <si>
    <t>military-grade AI security</t>
  </si>
  <si>
    <t>customized market intelligence</t>
  </si>
  <si>
    <t>AI-powered workflows for industry</t>
  </si>
  <si>
    <t>AI support for technicians</t>
  </si>
  <si>
    <t>air-gapped AI solution for industry</t>
  </si>
  <si>
    <t>AI-driven market reports</t>
  </si>
  <si>
    <t>industrial data privacy AI</t>
  </si>
  <si>
    <t>AI technical diagram interpretation</t>
  </si>
  <si>
    <t>secure AI maintenance platform</t>
  </si>
  <si>
    <t>timely industry newsletters</t>
  </si>
  <si>
    <t>on-premise AI platform</t>
  </si>
  <si>
    <t>competitor-level support</t>
  </si>
  <si>
    <t>AI with offline operations</t>
  </si>
  <si>
    <t>Kensit AI insights</t>
  </si>
  <si>
    <t>AI for equipment performance</t>
  </si>
  <si>
    <t>Long-Tail Keywords</t>
  </si>
  <si>
    <t>AI for technical manuals</t>
  </si>
  <si>
    <t>AI for interpreting schematics and manuals</t>
  </si>
  <si>
    <t>mAint on-prem AI maintenance</t>
  </si>
  <si>
    <t>AI-generated market intelligence reports</t>
  </si>
  <si>
    <t>technician AI assistant tool</t>
  </si>
  <si>
    <t>secure AI without cloud connectivity</t>
  </si>
  <si>
    <t>AI industry insights briefing service</t>
  </si>
  <si>
    <t>AI maintenance optimization software</t>
  </si>
  <si>
    <t>industrial manual interpretation AI</t>
  </si>
  <si>
    <t>on-prem containerized AI for secure environments</t>
  </si>
  <si>
    <t>Kensit custom market analysis AI</t>
  </si>
  <si>
    <t>secure industrial AI platform</t>
  </si>
  <si>
    <t>mAint AI for equipment manuals</t>
  </si>
  <si>
    <t>industrial AI solution for classified data</t>
  </si>
  <si>
    <t>AI summaries of market trends</t>
  </si>
  <si>
    <t>AI-based interpretive maintenance</t>
  </si>
  <si>
    <t>test engineering competence</t>
  </si>
  <si>
    <t>containerized on-prem AI solution</t>
  </si>
  <si>
    <t>improve technician performanace</t>
  </si>
  <si>
    <t>2025 Marketing Calendar</t>
  </si>
  <si>
    <t>Month</t>
  </si>
  <si>
    <t>May</t>
  </si>
  <si>
    <t>June</t>
  </si>
  <si>
    <t>July</t>
  </si>
  <si>
    <t>August</t>
  </si>
  <si>
    <t>September</t>
  </si>
  <si>
    <t>October</t>
  </si>
  <si>
    <t>November</t>
  </si>
  <si>
    <t>December</t>
  </si>
  <si>
    <t>Week Beginning</t>
  </si>
  <si>
    <t>School Holiday Periods</t>
  </si>
  <si>
    <t>School Holidays</t>
  </si>
  <si>
    <t>No travel for Nick</t>
  </si>
  <si>
    <t>Enegy Exports Conference, Aberdeen (3, 4 June)</t>
  </si>
  <si>
    <t>DSET (8-10 July)</t>
  </si>
  <si>
    <t>Offshore Europe (2-5 Sept)</t>
  </si>
  <si>
    <t>ADIPEC (3-6 nov)</t>
  </si>
  <si>
    <t>Go Digital Energy Summit, Amsterdam (2-4 June)</t>
  </si>
  <si>
    <t>Global Offshore Wind, London (17-18 June)</t>
  </si>
  <si>
    <t>LAUNCH OF mAInt PRISM?</t>
  </si>
  <si>
    <t>General LinkedIn activity</t>
  </si>
  <si>
    <t>Intro to ScotAi (Video)</t>
  </si>
  <si>
    <t xml:space="preserve">To Do </t>
  </si>
  <si>
    <t>X</t>
  </si>
  <si>
    <t>mAint Spotlight (video)</t>
  </si>
  <si>
    <t>Done</t>
  </si>
  <si>
    <t>Testing Competence with mAint (Video)</t>
  </si>
  <si>
    <t>mAint Secure (Video)</t>
  </si>
  <si>
    <t>Poll</t>
  </si>
  <si>
    <t>Moray Founders Blog 1</t>
  </si>
  <si>
    <t>Moray Founders Blog 2</t>
  </si>
  <si>
    <t>ScotAi Post 1</t>
  </si>
  <si>
    <t>Post - Moray will be at DSET (Thursday, ScotAi account)</t>
  </si>
  <si>
    <t>Post - On the Raytheon stand, demos, proud of relationship, admire how tech-forward the business (Monday, ScotAi)</t>
  </si>
  <si>
    <t>Done.</t>
  </si>
  <si>
    <t>Post - I am at the show, doing demo's, come say "hi" (Tuesday, Moray)</t>
  </si>
  <si>
    <t>Post - That was a great show, thanks to Raytheon (Thursday or Friday, Moray).</t>
  </si>
  <si>
    <t>Blog/Article with an image for website - "Association with Raytheon" (Wednesday)</t>
  </si>
  <si>
    <t xml:space="preserve">             X</t>
  </si>
  <si>
    <t>Founder's Discussion (Video) -  "talk about your experience at DSET event and our support &amp; association with Raytheon " (Friday)</t>
  </si>
  <si>
    <t xml:space="preserve">                  X</t>
  </si>
  <si>
    <t>Publish blog (On  LinkedIn): 'The most valuable 15 seconds spent on your business'</t>
  </si>
  <si>
    <t xml:space="preserve">         X</t>
  </si>
  <si>
    <t>LinkedIn poll</t>
  </si>
  <si>
    <t xml:space="preserve">               X</t>
  </si>
  <si>
    <t>Share team or vision video: 'Why we built ScotAI'</t>
  </si>
  <si>
    <t xml:space="preserve">                     X</t>
  </si>
  <si>
    <t>Identify Awards to apply for (engineering / innovation) Wind, Oil &amp; Gas, Defence, Subsea, Aquaculture, nuclear, etc.</t>
  </si>
  <si>
    <t>Collaborate to Innovate (C2I) Awards</t>
  </si>
  <si>
    <t>Ongoing (Almost Applied)</t>
  </si>
  <si>
    <t>ICIS Innovation Awards</t>
  </si>
  <si>
    <t>Not Applying</t>
  </si>
  <si>
    <t>Offshore Achievements Awards (OAA)</t>
  </si>
  <si>
    <t>Subsea Expo Awards</t>
  </si>
  <si>
    <t xml:space="preserve"> X</t>
  </si>
  <si>
    <t>HR Innovation Awards</t>
  </si>
  <si>
    <t>Not Applying (EWMG needs to accept the software)</t>
  </si>
  <si>
    <t>Raytheon (client press release to be shared by ScotAi)</t>
  </si>
  <si>
    <t>issued.</t>
  </si>
  <si>
    <t>Eastern Western (Date TBC - possibly August)</t>
  </si>
  <si>
    <t>Content is written and agreed.</t>
  </si>
  <si>
    <t>Possible BSW release</t>
  </si>
  <si>
    <t xml:space="preserve">Possible Aurora release </t>
  </si>
  <si>
    <t>Website Improvements</t>
  </si>
  <si>
    <t>Easterb Western Motor Group's logo needs added to the client logos</t>
  </si>
  <si>
    <t>mAint secure needs a video priview</t>
  </si>
  <si>
    <t>Add Cameron  Sutherland face and Amanda Foster face on the testimonials section</t>
  </si>
  <si>
    <t xml:space="preserve">Cameron's face is added </t>
  </si>
  <si>
    <t>Meta Title &amp; Meta Description for scotai.tech</t>
  </si>
  <si>
    <t>Blog Page - helps in seo, generates traffic, supports lead generation, educates audience</t>
  </si>
  <si>
    <t>Add Raytheons UK CTO Smith's Testimonials</t>
  </si>
  <si>
    <t>Book Flights</t>
  </si>
  <si>
    <t>Book Accomodation</t>
  </si>
  <si>
    <t>Prepare Presentation</t>
  </si>
  <si>
    <t>Rehearse</t>
  </si>
  <si>
    <t>LinkedIn Post - Before</t>
  </si>
  <si>
    <t>LinkedIn Post - During</t>
  </si>
  <si>
    <t>LinkedIn Post - After</t>
  </si>
  <si>
    <t>Reddit Post 1</t>
  </si>
  <si>
    <t>Reddit Post 2</t>
  </si>
  <si>
    <t>Reddit Post 3</t>
  </si>
  <si>
    <t>LinkedIn Post 1</t>
  </si>
  <si>
    <t>LinkedIn Post 2</t>
  </si>
  <si>
    <t>LinkedIn Post 3</t>
  </si>
  <si>
    <t>Scottish Tech Founders WhatsApp Group</t>
  </si>
  <si>
    <t>Add Careers, News and Blog section to ScotAi.tech</t>
  </si>
  <si>
    <t>Blog - Not another tech startup</t>
  </si>
  <si>
    <t>Post on Company News page</t>
  </si>
  <si>
    <t>Done - driving</t>
  </si>
  <si>
    <t>Done - Novotel</t>
  </si>
  <si>
    <t>Research Exhibitors</t>
  </si>
  <si>
    <t>Contact Exhibitors</t>
  </si>
  <si>
    <t>See above</t>
  </si>
  <si>
    <t>Publication</t>
  </si>
  <si>
    <t>Coverage</t>
  </si>
  <si>
    <t>Contact</t>
  </si>
  <si>
    <t>Business Scotland</t>
  </si>
  <si>
    <t>Business</t>
  </si>
  <si>
    <t>marketing@businessscotlandmagazine.com</t>
  </si>
  <si>
    <t>Chamber of Commerce?</t>
  </si>
  <si>
    <t>Chamber</t>
  </si>
  <si>
    <t>BBC</t>
  </si>
  <si>
    <t>bbcyourvoice@bbc.co.uk</t>
  </si>
  <si>
    <t>The Scotsman</t>
  </si>
  <si>
    <t>Newspaper</t>
  </si>
  <si>
    <t>newsdeskts@scotsman.com</t>
  </si>
  <si>
    <t>The National</t>
  </si>
  <si>
    <t>reporters@thenational.scot</t>
  </si>
  <si>
    <t>The Herald</t>
  </si>
  <si>
    <t>https://www.heraldscotland.com/send-us-your-news/</t>
  </si>
  <si>
    <t>Edinburgh Evening News</t>
  </si>
  <si>
    <t>newsen@edinburghnews.com</t>
  </si>
  <si>
    <t>Daily Record</t>
  </si>
  <si>
    <t>reporters@dailyrecord.co.uk</t>
  </si>
  <si>
    <t>Early Line</t>
  </si>
  <si>
    <t>web</t>
  </si>
  <si>
    <t>earlyline@mail.beehiiv.com</t>
  </si>
  <si>
    <t>Daily Express</t>
  </si>
  <si>
    <t>scot.news@express.co.uk</t>
  </si>
  <si>
    <t>Falkirk Herald</t>
  </si>
  <si>
    <t>fiona.dobie@jpimedia.co.uk</t>
  </si>
  <si>
    <t>The Times</t>
  </si>
  <si>
    <t>home.news@thetimes.co.uk</t>
  </si>
  <si>
    <t>Scottish Business News</t>
  </si>
  <si>
    <t>Scottish Business</t>
  </si>
  <si>
    <t>editorial@unionmedia.news</t>
  </si>
  <si>
    <t>Scottish Financial News</t>
  </si>
  <si>
    <t>newsdesk@scottishnews.com</t>
  </si>
  <si>
    <t>Motor Trader</t>
  </si>
  <si>
    <t>Trade Press</t>
  </si>
  <si>
    <t>ellis.davies@emap.com</t>
  </si>
  <si>
    <t>Motor Trade News</t>
  </si>
  <si>
    <t>Ryan@astormedia.co.uk</t>
  </si>
  <si>
    <t>HR Press</t>
  </si>
  <si>
    <t>submit at https://hrpress.co.uk/share-your-news-march-2025/</t>
  </si>
  <si>
    <t>HR World</t>
  </si>
  <si>
    <t>news@thehrworld.co.uk</t>
  </si>
  <si>
    <t>HR Network Scotland</t>
  </si>
  <si>
    <t>editor@hrnetworkscotland.co.uk</t>
  </si>
  <si>
    <t>IMI</t>
  </si>
  <si>
    <t>SMTA</t>
  </si>
  <si>
    <t>CIPD</t>
  </si>
  <si>
    <t>Car Dealer magazine</t>
  </si>
  <si>
    <t>editorial@cardealermagazine.co.uk</t>
  </si>
  <si>
    <t>Date to Complete the task</t>
  </si>
  <si>
    <t>Moray Action</t>
  </si>
  <si>
    <t>Nick Action</t>
  </si>
  <si>
    <t>Pratik Action</t>
  </si>
  <si>
    <t>Shoot a short video (2-3 minutes) on the DSET event experience, cotent is already given to Moray</t>
  </si>
  <si>
    <t>Upload the video content on LinkedIn with 1-2 lines written content along with hashtags</t>
  </si>
  <si>
    <t>5 = High, 1 = low.</t>
  </si>
  <si>
    <t>Award</t>
  </si>
  <si>
    <t>Categfory</t>
  </si>
  <si>
    <t>Priority (1-5)</t>
  </si>
  <si>
    <t>Target Industry or product</t>
  </si>
  <si>
    <t>Our Case Study</t>
  </si>
  <si>
    <t>Application Deadline</t>
  </si>
  <si>
    <t>Event Date</t>
  </si>
  <si>
    <t>Event Location</t>
  </si>
  <si>
    <t>ONS Innovation Awards</t>
  </si>
  <si>
    <t>Energy, Oil &amp; Gas, Renewable Energy</t>
  </si>
  <si>
    <t>Celebrates cutting edge technologies in energy sector</t>
  </si>
  <si>
    <t>OEUK Awards</t>
  </si>
  <si>
    <t>Offshore Energy</t>
  </si>
  <si>
    <t>Recognizes excellence in the UK offshore energy industry</t>
  </si>
  <si>
    <t>Special Meritorious Awards for Engineering Innovation</t>
  </si>
  <si>
    <t>Engineering Innovation</t>
  </si>
  <si>
    <t>Engineering &amp; Technology</t>
  </si>
  <si>
    <t>Recognizes engineering innovation that significantly impact industry</t>
  </si>
  <si>
    <t>Energy Eagles</t>
  </si>
  <si>
    <t>Celebrates excellence and innovation, honoring the standout companies and professionals who drive the future of energy</t>
  </si>
  <si>
    <t>Global Energy Prize</t>
  </si>
  <si>
    <t>Research &amp; Innovation</t>
  </si>
  <si>
    <t>Outstanding scientific research and scientific-technical developments in the field of energy</t>
  </si>
  <si>
    <t>EMA Energy Management Awards</t>
  </si>
  <si>
    <t>Energy Effeciency Award of the Year</t>
  </si>
  <si>
    <t>Energy Management</t>
  </si>
  <si>
    <t>Acknowledged achievements in energy management &amp; sustainability</t>
  </si>
  <si>
    <t>Energy Risk Awards</t>
  </si>
  <si>
    <t>Risk Management</t>
  </si>
  <si>
    <t xml:space="preserve">Energy </t>
  </si>
  <si>
    <t>Missed.</t>
  </si>
  <si>
    <t>Acknowledges excellence in energy risk management</t>
  </si>
  <si>
    <t>The Scotish Green Energy Supply Chain Awards</t>
  </si>
  <si>
    <t>Technology &amp; Business Innovation</t>
  </si>
  <si>
    <t>Renewable Energy, Digital Transformation</t>
  </si>
  <si>
    <t>Submitted</t>
  </si>
  <si>
    <t>Celebrates a company that has developed a product, service or process that improves the renewable energy supply chain operations</t>
  </si>
  <si>
    <t>Offshore Achievement Awards</t>
  </si>
  <si>
    <t>Celebrates innovation &amp; success in offshore energy sector</t>
  </si>
  <si>
    <t>OTC Spotlight on New Technology Awards *****</t>
  </si>
  <si>
    <t>New Technology</t>
  </si>
  <si>
    <t>Offshore Technology</t>
  </si>
  <si>
    <t>Recognizes innovative technologies in the offshore energy sector</t>
  </si>
  <si>
    <t>UK Nuclear Skills Awards</t>
  </si>
  <si>
    <t>Training &amp; Development</t>
  </si>
  <si>
    <t>Nuclear Energy</t>
  </si>
  <si>
    <t>Recognizes excellence in nuclear skill development</t>
  </si>
  <si>
    <t>EIC Awards</t>
  </si>
  <si>
    <t>Excellence in Construction</t>
  </si>
  <si>
    <t>Construction, Engineering</t>
  </si>
  <si>
    <t>Recognizes excellence in the construction &amp; engineering projects</t>
  </si>
  <si>
    <t>Innovation &amp; Collaboration</t>
  </si>
  <si>
    <t>Renewable Energy, Sustainability</t>
  </si>
  <si>
    <t>London.</t>
  </si>
  <si>
    <t>Recognizes outstanding partnership that drives innovation &amp; sustainability</t>
  </si>
  <si>
    <t>International Energy Awards</t>
  </si>
  <si>
    <t>Innovation, Sustainability</t>
  </si>
  <si>
    <t>Global Energy</t>
  </si>
  <si>
    <t>Honours global achievements in the energy sector</t>
  </si>
  <si>
    <t>Green Energy Awards</t>
  </si>
  <si>
    <t>Innovative &amp; Sustainability</t>
  </si>
  <si>
    <t>Celebrates achievements in renewable &amp; sustainable energy</t>
  </si>
  <si>
    <t>Innovation, Technology</t>
  </si>
  <si>
    <t>Subsea Engineering</t>
  </si>
  <si>
    <t>European Sustainable Energy Awards</t>
  </si>
  <si>
    <t>Sustainable Energy</t>
  </si>
  <si>
    <t>Recognizes outstanding efforts in sustainable energy across europe</t>
  </si>
  <si>
    <t>SPE Awards</t>
  </si>
  <si>
    <t>Technical Innovation</t>
  </si>
  <si>
    <t>Petroleum Engineering</t>
  </si>
  <si>
    <t>Presented by society of petroleum engineers to recognize technical excellence</t>
  </si>
  <si>
    <t>Chemical Industry</t>
  </si>
  <si>
    <t>Not Applying.</t>
  </si>
  <si>
    <t>Recognising and rewarding sustainability, creativity, and vision within the chemicals industry</t>
  </si>
  <si>
    <t>Scottish Green Awards</t>
  </si>
  <si>
    <t>Innovation &amp; Technology</t>
  </si>
  <si>
    <t>Innovation &amp; Sustainability</t>
  </si>
  <si>
    <t>Customer</t>
  </si>
  <si>
    <t>Principal Contact</t>
  </si>
  <si>
    <t>Document Reference</t>
  </si>
  <si>
    <t>2025 - A - DT v1</t>
  </si>
  <si>
    <t>Next Review Date</t>
  </si>
  <si>
    <t>Last Updated</t>
  </si>
  <si>
    <t>Number</t>
  </si>
  <si>
    <t>Team</t>
  </si>
  <si>
    <t>Function</t>
  </si>
  <si>
    <t>Champion</t>
  </si>
  <si>
    <t>Objective</t>
  </si>
  <si>
    <t>Current Process</t>
  </si>
  <si>
    <t>Impact - what will Success Look Like?</t>
  </si>
  <si>
    <t>Outcome - Review 1</t>
  </si>
  <si>
    <t>Outcome - Review 2</t>
  </si>
  <si>
    <t>Outcome - Review 3</t>
  </si>
  <si>
    <t>Outcome - Review 4</t>
  </si>
  <si>
    <t>Outcome - Review 5</t>
  </si>
  <si>
    <t>Sales</t>
  </si>
  <si>
    <t>Win It</t>
  </si>
  <si>
    <t>HR</t>
  </si>
  <si>
    <t>Support It</t>
  </si>
  <si>
    <t>1.  Make HR more efficient</t>
  </si>
  <si>
    <t>HSEQ</t>
  </si>
  <si>
    <t>Do It</t>
  </si>
  <si>
    <t>Operations</t>
  </si>
  <si>
    <t>Moray Blog</t>
  </si>
  <si>
    <t>ScotAi Blog (LinkedIn)</t>
  </si>
  <si>
    <t>Nick Blog</t>
  </si>
  <si>
    <t>Website Blog (Website?)</t>
  </si>
  <si>
    <t>Content Suggestion</t>
  </si>
  <si>
    <t>Posted</t>
  </si>
  <si>
    <t>From lightbulb moment to AI Innovation!
Sometimes, the best journeys begin by trying to solve a simple problem. For us, that problem was that the manual which came with Moray Melhuish’s Volkswagen Group Golf was terrible.
“I was making a mess of it. I was trying to change the lightbulb in my car, and I couldn’t get the back off the headlight, to get the bulb in. I was trying to twist it anti-clockwise, but it was seized and, in the process, skinned my knuckles really badly. I started to wonder if – weirdly – i should be turning it clockwise to loosen it. 
I resorted to the manual. I looked up “B” for bulb – nothing. I looked up “L” for lightbulb – nothing. Finally, i found it – under “C” for “Change the Lightbulb.......”. I said to Nick - “why can’t I pick up my phone and just ask it - “how do I change the lightbulb?” Within days, Nick Thomas had built our Minimum Viable Product, which could do just that, and around the same time we landed our first client, Frisch Engineered Products Inc Products in hashtag#Canada.
We realised that – from our experience in Subject Matter Expert and Commercial roles – written instruction is rarely read, and this leads to mistakes, lost time and cost. 
And the capability created by the team was soon making a difference in not just the hashtag#valve industry but the hashtag#military, hashtag#nuclear, hashtag#subsea, hashtag#aquaculture and hashtag#automotive sectors too.
And that's how ScotAI in hashtag#Linlithgow was founded by Moray and Nick.</t>
  </si>
  <si>
    <t>Are you in the 50.7%? Is it holding back your company?
According to research carried out by the Institute of Directors (IoD) into the barriers and concerns for AI adoption, 40.3% of directors cite cyber security, 49.9% cite reliability or explainability and a whopping 50.7% say that a lack of AI expertise at management level and in the boardroom is holding them back.
If this sounds familiar, we've got you. ScotAi's unique AI platforms are designed to enhance workforce capabilities. Crucially, they are accurate, protect your hashtag#IntellectualProperty and are IT secure. In fact, that they're in daily use in critical hashtag#engineering sectors like hashtag#Defence, hashtag#Nuclear, hashtag#Wind, hashtag#Energy, hashtag#Subsea and hashtag#aquaculture.
Get in touch, and let's bring those enhanced workforce benefits to your business.
https://lnkd.in/e3XUPx-W</t>
  </si>
  <si>
    <t>Green Cat Renewable Ltd partners with ScotAi</t>
  </si>
  <si>
    <t>What its like starting a new business.   Get introduced to a guy at a trade show - think - interesting person, interesting ideas.  Get together to explore one idea - abandon it and create another.  Cant get the idea out of my head.  Speak to a good friend to find out if the idea is indeed a good idea.  Be bowled over when he loves it, and asks to be our first client.  Holy shit we have started a company.  Guy i met at a trade show is now co-founder, someone i will speak to a dozen times a day, every day, at all times of the day.</t>
  </si>
  <si>
    <t>Your secrets safe with us.  In fact, all your information is safe, including your intellectual property.  Don’t risk it by letting your staff use generic AI.  Use ScotAi instead.  Secure, data secure, accurate Ai for Critical Industries.</t>
  </si>
  <si>
    <t>How ScotAi &amp; Raytheon UK are bringing secure AI to Military Training</t>
  </si>
  <si>
    <t>Choosing a co-founder.  I realise how important it is to choose the right co founder.  We have similar ideas but are very different.  He creates the MVP, I bring in the first customers.  Our enthusiasm keeps each other going.  We are both juggling other businesses, but increasingly our time is spent on this.  Quickly we realise we trust each others judgement, and trust each other.</t>
  </si>
  <si>
    <r>
      <rPr>
        <sz val="12"/>
        <color rgb="FFFF0000"/>
        <rFont val="Aptos Narrow (Body)"/>
      </rPr>
      <t>Unplanned downtimes costs millions. With mAint scotai brings AI powered predictive maintenece, that identifies anomolies before bearkdown occurs. The blog will help in exploring how heavy industries like iron &amp; steel and oil &amp; gas can uptime operational effeciency.</t>
    </r>
    <r>
      <rPr>
        <b/>
        <sz val="12"/>
        <color theme="1"/>
        <rFont val="Aptos Narrow (Body)"/>
      </rPr>
      <t xml:space="preserve"> No - we dont do predictive maintenance.  that's someone elses software, another company altogether.</t>
    </r>
  </si>
  <si>
    <t>We go to our first trade show, armed with our MVP.  One business, a london-listed technology and services company is amazed.  We are told to be at their offices the following week.  We go… and they come onboard as a user.  They are a large company, and they have just given our startup a contract.  They didn't ask for 3 years audited accounts.  They didnt ask for ISO9001.   They are truly innovation-focussed and startup friendly.  Holy shit, we have 2 clients.</t>
  </si>
  <si>
    <t>Discover how mAint by ScotAi is redefining remote maintenance and technician training. From simplifying assessments to certifying team competence, mAint uses our existing documents to empower field teams.     Title: mAint: Smarter Maintenance for Smarter Industries</t>
  </si>
  <si>
    <t>how the quiz module came about.  It took you how long?  As some of you will know, I started my career in the #valve industry, working with a major valve management contractor.  During my time there I was responsible for the development of digital training modules used by over 1,000 staff to improve and test their competence.  I was totally onboard with the reasons behind it - but could never believe how long it took to create them.  It was the same in the #Subsea industry - we invested massively in training and competence - and the cost per module of preparing training materials was a long, slow and always expensive.  My friend and colleague in @Annet Consulting @SteveHam and I had been looking for proprietary systems which we could licence and promote - but we werent getting anywhere.  And so, the conversation arose with innovator and business partner at @ScotAi  @Nicholas Thomas.  Could we enable users to upload any technical manual, standard or procedure - and enable them to generate a competency test?  You probably know the answer.  That's how the competency test capabiltiy within mAint arose.  And soon our software was being used in the international  #valve,  #nuclear,  #military,  #wind,  #subsea and  #aquaculture industries.</t>
  </si>
  <si>
    <t>mAint introduces interactive AI-powered testing for technical roles. Whether it's general knowledge or deep technical skills, mAint helps identify strengths, gaps, and readiness instantly.</t>
  </si>
  <si>
    <t>Focus.  We realise that what we care about is helping people to do a good job.  We realise that we've both spent our careers in engineering - Nick in technical &amp; quality roles, me in commercial one.  Almost every time there's been an issue in the companies we've been at, its because of human error.  There's a shortage of good people in engineering.  We can help reduce human errors, and we can make subject matter experts more productive too.  We decide to focus on critical industries - making information intuitive, secure, shareable, scaleable.</t>
  </si>
  <si>
    <t xml:space="preserve">Why Enhance Industrial Performance with Interpretive AI?
The shortage of good technical people in industry means that attracting, keeping and developing technical staff is more important than ever.  What’s more, rising costs of employment, interest rates and competitive landscape means that overheads must be more carefully managed than ever before.
For leaders in engineering today, What’s the best way to ensure that technical teams are as efficient as possible?  the industrial landscape demands a smarter approach for success.
These smarter approaches harness Interpretive AI innovations to instantly test competence, generate training materials, enhance understanding of equipment and worksites, and enable experts to be instantly consulted, reduce operational cost and operational time, and ultimately improve the base and onsite performance of commercial and technical teams in engineering. </t>
  </si>
  <si>
    <t>Not all our demo's go well.  Through a contact, Nick is asked to demo to one of the worlds largest defence companies.  His Wi-Fi breaks down and the demo is a disaster.  We think 'that's it, we'll never hear from them again'.  3 months later, Nick gets a call.  The company loved the idea and investigated how else they could achieve the same results.  They couldn't... so they ask to come on as a user.  But there's one catch.  They're going to be deploying the software for one of the west's major militaries... so they want the same functionality, but the entire system has to run on-prem, on a secure network with no internet access.  and they need to roll it out in 6 weeks.    We have to say yes.  By now we have a small development team.  We have chosen young, inexperienced software developers because AI has only really existed ifor about 18 months - but we have also chosen brilliantly intelligent, capable and enthusiastic professionals - and they do it.  We now supply AI to the military.</t>
  </si>
  <si>
    <t>What is Interpretive AI?
Unlike freely available, generic AI which may be used by individuals, Interpretive AI is designed to avoid the pitfalls of artificial intelligence, reducing risks and enhancing performance for industrial users.  So, what makes some AI ‘Interpretive’?
•	Hallucination – Interpretive AI is designed not to ‘fill the gaps’ in its knowledge, but to simply state “I don’t know” instead.
•	Intellectual Property (IP) loss – companies spending £thousands on enterprise-grade security may find that their employees are using generic AI – so while the company pays to stop hackers stealing their IP, their employees are simply giving it away freely, by uploading it to AI.  Interpretive AI protects company IP.
•	Ring-fenced data sets – Interpretive AI is designed only to find or interpret a result within a defined, approved and user-controlled dataset, rather than the internet as a whole – to ensure that the result is from a controlled, reliable source.
•	Interpretive AI is designed to save subject matter experts’ valuable time – and, at the same time, make the right expert available to the right user at the right time.
Just remember – if you’ve not paid for the product, you are the product!</t>
  </si>
  <si>
    <t>Entrepreneurship really isnt a straight line.  We present to clients who love it, who tell us multiple times they're just sorting the PO, and that they're going ahead because of us, not the software.  For one we end up demoing to them 7 times, and even give them a full roll-out plan for their multiple international subsidiaries.  We are then invited to participate in a pre-screening for a procurement process, and then invited to submit a (competitive) tender, for a traditional software system.  We decline.  We just dont have the bandwidth or resources for this type of thing.  We realise that the client is just not innovation focussed (despite them being in a high tech sector).  they are not start-up friendly.  Ironically, I championed them when they were a startup - but memories are short.  We decide to start pre-screening our clients to avoid wasting effort in future.  Some big company people don't realist that when they're asking us for all manner of information (much of which really isnt important) they are truly costing us money.  If we are dealing with the original entrepreneur, they totally get it.  We have 2 founders, and we're spinning a million plates - including our other comitments in family and business.  We need to protect our time carefully.</t>
  </si>
  <si>
    <t>Real-time data. Timely insights. Actionable intelligence — these are no longer optional, but essential.</t>
  </si>
  <si>
    <t>We apply to a load of different accelerators and for multiple innovation grants.  We receive rejections for a load of different reasons, and someties we're simply rejected.  We dont think theyre even being read.  We are told that our product and presentation are too good for the wind sector.  Out of the blue, we receive an email back from the nuclear accelerator.  The National Nuclear Laboratory loves our idea.  They want to pay for it, but it needs adjusted, and we only have 12 weeks (compared to our military client, this is a huge amount of time).  We're delighted to accept, and deliver their system to improve risk managenment.  Holy shit, we're now in the nuclear sector.</t>
  </si>
  <si>
    <t>Investment is a tricky one.  8 of the first 9 companies we demo to ask if they can invest in the company.  The truth is, thanks to our first client paying for their subscription in advance of receiving the software, we don't need it - it would be a distraction getting the user feedback, improving the software, and spending time with clients.  Investment would mean being able to accelerate that - but we'd also have a load of reporting to do too.</t>
  </si>
  <si>
    <t>Is The Business Intelligence Gap Costing You?</t>
  </si>
  <si>
    <t>We prize feedback.  We put a fortnightly meeting in the calendar, and we use every scrap of information received to improve our software.  Sometimes we have amazing feedback, and sometimes we have positive feedback.  Any opportunity to improve the software is amazing.  Calls even become sociable - we look forward to seeing the people as much as getting the feedback.  For a team all of whom are working from home, this social contact is really valuable as well as useful for the business.</t>
  </si>
  <si>
    <t xml:space="preserve">Winning new clients is exciting.   We're still not great at marketing but we're tgetting better.  Whenever we do a demo, we get really good feedback.  Because we choose our demo clients carefully, they often turn into clients.   The feedback from demos is always good to hear - but the feeling when they go ahead witht he system it's not just encouraging, its validation that our idea is sensible, that it is going to make a difference, that we did the right thing focussing 90% of our attentions onthis over the last year, that the faith put in us by our families and clients was well placed.  </t>
  </si>
  <si>
    <t>According to The Decision Dilemma, by Oracle and Seth Stephens-Davidowitz, data scientist and author of Everybody Lies and Don’t Trust Your Gut, the deluge of data means that 87% of business leaders are unable to use data to effectively make decisions, and this is hurting their quality of life and business performance. Think about your last strategic decision. How much time did you spend gathering information? How confident were you that your data was current, comprehensive, and actionable?</t>
  </si>
  <si>
    <t>You quickly find out who your real friends are.  Our first client was one of my oldest friends - I don’t know what I ever did to deserve a friend like him, but im extremely grateful.  Other friends have gotten in touch and suggested who we should demo to.  Others have just gon to ground, disappeared.  Perhaps they dont know that starting a company really is sink or swim for the family.</t>
  </si>
  <si>
    <t>The results we get are not always expected, but they are aways appreciated.  We approached one of the companies we'd worked for before, and were prepared to give them exclusivity.  We new the management team loved it because we'd showed them already.  Their CTO advised that they couldnt look at it for the rest of the year.  We had no choice - we needed to bring in clients to keep the company going.  We approached one of their competitors, who loved it.  We were given 6 weeks to give them an API, so that our capability would be built in to their own existing software system.  They presented it to one of their largest potential clients, and the feedback was outstanding.  The CEO of our client told us "in all my years in business, i have never had a response like it.  They knew I was good at servicing equipment - but now they see us as innovators - thank you.  We won the work".</t>
  </si>
  <si>
    <t>Beyond Numbers: The Context Revolution</t>
  </si>
  <si>
    <t xml:space="preserve">Sometimes client feedback is misleading.  </t>
  </si>
  <si>
    <t>Beware the timewasters</t>
  </si>
  <si>
    <t>Traditional market reports tell you what happened. Modern market intelligence tells you what's happening now and what the essential strategic insights are.</t>
  </si>
  <si>
    <t>help founders.</t>
  </si>
  <si>
    <t>At ScotAI, we've moved beyond static quarterly reports to dynamic, contextual intelligence that adapts to your industry's pace. Our approach transforms scattered data points into coherent narratives that reveal:</t>
  </si>
  <si>
    <t>1. Emerging patterns before they become industry-wide trends</t>
  </si>
  <si>
    <t>2. Competitive movements that could impact your market position</t>
  </si>
  <si>
    <t>3. Regulatory shifts that might affect your strategic planning</t>
  </si>
  <si>
    <t>4. Technology developments reshaping your sector</t>
  </si>
  <si>
    <t>Meet Kensit: Your Market Intelligence Revolution</t>
  </si>
  <si>
    <t>Whilst other tools serve up stale reports from weeks or months ago, Kensit delivers market intelligence that's just 3 minutes fresh. Our smart search technology doesn't just find information — it finds the right information, right now.</t>
  </si>
  <si>
    <t>Imagine having access to market movements, competitor analysis, and industry shifts before your competition even knows they're happening. That's the Kensit advantage.</t>
  </si>
  <si>
    <t>The ScotAI Difference</t>
  </si>
  <si>
    <t>At ScotAI, we believe the right data at the right time can shape the future of any organisation. Our market reports and industry briefings go beyond numbers — they deliver context, patterns, and forward-looking insights that enable leaders to act with clarity and confidence.</t>
  </si>
  <si>
    <t>Ready to transform how you make decisions? Experience the future of market intelligence with kensit.</t>
  </si>
  <si>
    <r>
      <t xml:space="preserve">To explore </t>
    </r>
    <r>
      <rPr>
        <sz val="14"/>
        <color rgb="FF0A66C2"/>
        <rFont val="Helvetica Neue"/>
        <family val="2"/>
      </rPr>
      <t>hashtag#Kensit</t>
    </r>
    <r>
      <rPr>
        <sz val="14"/>
        <color theme="1"/>
        <rFont val="Helvetica Neue"/>
        <family val="2"/>
      </rPr>
      <t xml:space="preserve">, do visit </t>
    </r>
    <r>
      <rPr>
        <sz val="14"/>
        <color rgb="FF0A66C2"/>
        <rFont val="Helvetica Neue"/>
        <family val="2"/>
      </rPr>
      <t>https://kensit.world/</t>
    </r>
  </si>
  <si>
    <t xml:space="preserve">Watch The Full Video &amp; Follow For More </t>
  </si>
  <si>
    <r>
      <t>hashtag#ScotAi</t>
    </r>
    <r>
      <rPr>
        <sz val="14"/>
        <color theme="1"/>
        <rFont val="Helvetica Neue"/>
        <family val="2"/>
      </rPr>
      <t xml:space="preserve"> </t>
    </r>
    <r>
      <rPr>
        <sz val="14"/>
        <color rgb="FF0A66C2"/>
        <rFont val="Helvetica Neue"/>
        <family val="2"/>
      </rPr>
      <t>hashtag#MarketIntelligence</t>
    </r>
    <r>
      <rPr>
        <sz val="14"/>
        <color theme="1"/>
        <rFont val="Helvetica Neue"/>
        <family val="2"/>
      </rPr>
      <t xml:space="preserve"> </t>
    </r>
    <r>
      <rPr>
        <sz val="14"/>
        <color rgb="FF0A66C2"/>
        <rFont val="Helvetica Neue"/>
        <family val="2"/>
      </rPr>
      <t>hashtag#BusinessInsights</t>
    </r>
    <r>
      <rPr>
        <sz val="14"/>
        <color theme="1"/>
        <rFont val="Helvetica Neue"/>
        <family val="2"/>
      </rPr>
      <t xml:space="preserve"> </t>
    </r>
    <r>
      <rPr>
        <sz val="14"/>
        <color rgb="FF0A66C2"/>
        <rFont val="Helvetica Neue"/>
        <family val="2"/>
      </rPr>
      <t>hashtag#DecisionMaking</t>
    </r>
    <r>
      <rPr>
        <sz val="14"/>
        <color theme="1"/>
        <rFont val="Helvetica Neue"/>
        <family val="2"/>
      </rPr>
      <t xml:space="preserve"> </t>
    </r>
    <r>
      <rPr>
        <sz val="14"/>
        <color rgb="FF0A66C2"/>
        <rFont val="Helvetica Neue"/>
        <family val="2"/>
      </rPr>
      <t>hashtag#ArtificialIntelligence</t>
    </r>
    <r>
      <rPr>
        <sz val="14"/>
        <color theme="1"/>
        <rFont val="Helvetica Neue"/>
        <family val="2"/>
      </rPr>
      <t xml:space="preserve"> </t>
    </r>
    <r>
      <rPr>
        <sz val="14"/>
        <color rgb="FF0A66C2"/>
        <rFont val="Helvetica Neue"/>
        <family val="2"/>
      </rPr>
      <t>hashtag#UKBusiness</t>
    </r>
    <r>
      <rPr>
        <sz val="14"/>
        <color theme="1"/>
        <rFont val="Helvetica Neue"/>
        <family val="2"/>
      </rPr>
      <t xml:space="preserve"> </t>
    </r>
    <r>
      <rPr>
        <sz val="14"/>
        <color rgb="FF0A66C2"/>
        <rFont val="Helvetica Neue"/>
        <family val="2"/>
      </rPr>
      <t>hashtag#StrategicPlanning</t>
    </r>
    <r>
      <rPr>
        <sz val="14"/>
        <color theme="1"/>
        <rFont val="Helvetica Neue"/>
        <family val="2"/>
      </rPr>
      <t xml:space="preserve"> </t>
    </r>
    <r>
      <rPr>
        <sz val="14"/>
        <color rgb="FF0A66C2"/>
        <rFont val="Helvetica Neue"/>
        <family val="2"/>
      </rPr>
      <t>hashtag#DataDriven</t>
    </r>
    <r>
      <rPr>
        <sz val="14"/>
        <color theme="1"/>
        <rFont val="Helvetica Neue"/>
        <family val="2"/>
      </rPr>
      <t xml:space="preserve"> </t>
    </r>
    <r>
      <rPr>
        <sz val="14"/>
        <color rgb="FF0A66C2"/>
        <rFont val="Helvetica Neue"/>
        <family val="2"/>
      </rPr>
      <t>hashtag#B2BMarketing</t>
    </r>
    <r>
      <rPr>
        <sz val="14"/>
        <color theme="1"/>
        <rFont val="Helvetica Neue"/>
        <family val="2"/>
      </rPr>
      <t xml:space="preserve"> </t>
    </r>
    <r>
      <rPr>
        <sz val="14"/>
        <color rgb="FF0A66C2"/>
        <rFont val="Helvetica Neue"/>
        <family val="2"/>
      </rPr>
      <t>hashtag#BusinessGrowth</t>
    </r>
    <r>
      <rPr>
        <sz val="14"/>
        <color theme="1"/>
        <rFont val="Helvetica Neue"/>
        <family val="2"/>
      </rPr>
      <t xml:space="preserve"> </t>
    </r>
    <r>
      <rPr>
        <sz val="14"/>
        <color rgb="FF0A66C2"/>
        <rFont val="Helvetica Neue"/>
        <family val="2"/>
      </rPr>
      <t>hashtag#Kensit</t>
    </r>
    <r>
      <rPr>
        <sz val="14"/>
        <color theme="1"/>
        <rFont val="Helvetica Neue"/>
        <family val="2"/>
      </rPr>
      <t xml:space="preserve"> </t>
    </r>
    <r>
      <rPr>
        <sz val="14"/>
        <color rgb="FF0A66C2"/>
        <rFont val="Helvetica Neue"/>
        <family val="2"/>
      </rPr>
      <t>hashtag#Innovation</t>
    </r>
  </si>
  <si>
    <t>https://lnkd.in/d58wVFfK</t>
  </si>
  <si>
    <t>First Do No Harm! Check out this article that tells why most AI is too dangerous for engineering &amp; what we're doing about it.</t>
  </si>
  <si>
    <t>Day</t>
  </si>
  <si>
    <t>Post Type</t>
  </si>
  <si>
    <t>Content Description</t>
  </si>
  <si>
    <t xml:space="preserve">Goal </t>
  </si>
  <si>
    <t>Day 1</t>
  </si>
  <si>
    <t>21-05-2025</t>
  </si>
  <si>
    <t>Company Introduction</t>
  </si>
  <si>
    <t>Introduction to scotai limited - who we are &amp; what we do</t>
  </si>
  <si>
    <t>Brand Awareness</t>
  </si>
  <si>
    <t>Day 2</t>
  </si>
  <si>
    <t>22-05-2025</t>
  </si>
  <si>
    <t>Product Highlighting</t>
  </si>
  <si>
    <t>Spotlight on mAInt – Optimizing industrial maintenance with AI.</t>
  </si>
  <si>
    <t>Product Awareness</t>
  </si>
  <si>
    <t>Day 3</t>
  </si>
  <si>
    <t>23-05-2025</t>
  </si>
  <si>
    <t>Break</t>
  </si>
  <si>
    <t>Day 4</t>
  </si>
  <si>
    <t>26-05-2025</t>
  </si>
  <si>
    <t>Industry Insight</t>
  </si>
  <si>
    <t>How AI is transforming industrial operations – quick facts.</t>
  </si>
  <si>
    <t>Thought Leadership</t>
  </si>
  <si>
    <t>Pending</t>
  </si>
  <si>
    <t>Day 5</t>
  </si>
  <si>
    <t>27-05-2025</t>
  </si>
  <si>
    <t>What’s your biggest industrial maintenance challenge?</t>
  </si>
  <si>
    <t>Engagement</t>
  </si>
  <si>
    <t>Day 6</t>
  </si>
  <si>
    <t>28-05-2025</t>
  </si>
  <si>
    <t>Behind the Scenes</t>
  </si>
  <si>
    <t>Building AI at ScotAi – our process explained.</t>
  </si>
  <si>
    <t>Brand Trust</t>
  </si>
  <si>
    <t>Day 8</t>
  </si>
  <si>
    <t>29-06-2025</t>
  </si>
  <si>
    <t>Product Focus</t>
  </si>
  <si>
    <t>Kensit : How it delivers actionable market intelligence.</t>
  </si>
  <si>
    <t>Day 9</t>
  </si>
  <si>
    <t>30-05-2025</t>
  </si>
  <si>
    <t>Client Pain Point</t>
  </si>
  <si>
    <t>Manual data handling is risky – here's how mAInt Secure helps.</t>
  </si>
  <si>
    <t>Relevance</t>
  </si>
  <si>
    <t>Day 10</t>
  </si>
  <si>
    <t>Microblog</t>
  </si>
  <si>
    <t>Why secure data matters in manufacturing. (Short article)</t>
  </si>
  <si>
    <t>SEO + Traffic</t>
  </si>
  <si>
    <t>Case Study Snippet</t>
  </si>
  <si>
    <t>How mAInt helped a manufacturing client.</t>
  </si>
  <si>
    <t>Social Proof</t>
  </si>
  <si>
    <t>mAint Secure, and why it's transforming how people use their own data.</t>
  </si>
  <si>
    <t>mAint Prism:  the breakthrough enabling accurate and efficient information extraction</t>
  </si>
  <si>
    <t>Kensit Spaces:  Ensure your team understands and can react quickly to market changes</t>
  </si>
  <si>
    <t>Kensit Briefings:  Getting your stakeholders the information they need.</t>
  </si>
  <si>
    <t>Kensit Smart Search:  Research Markets like a Pro.</t>
  </si>
  <si>
    <t xml:space="preserve">1. Who we are </t>
  </si>
  <si>
    <t>2. What we do</t>
  </si>
  <si>
    <t>3. Our Vision</t>
  </si>
  <si>
    <t>4. Who we serve</t>
  </si>
  <si>
    <t>5. Call to Action</t>
  </si>
  <si>
    <t>Phase 1:  Early Development</t>
  </si>
  <si>
    <t>Phase 2:  MVP</t>
  </si>
  <si>
    <t>Phase 3:  System Enhancement</t>
  </si>
  <si>
    <t>Phase 4:  Enterprise Subscription</t>
  </si>
  <si>
    <t>Define Requirements</t>
  </si>
  <si>
    <t>New Project</t>
  </si>
  <si>
    <t>Create Simple Project</t>
  </si>
  <si>
    <t>Advanced Project Information</t>
  </si>
  <si>
    <t>Project Templates (Geoposition, map view, etc)</t>
  </si>
  <si>
    <t>Documentation</t>
  </si>
  <si>
    <t>Upload 2-3 documents</t>
  </si>
  <si>
    <t>Document Audit</t>
  </si>
  <si>
    <t>Process Feedback Loop</t>
  </si>
  <si>
    <t>Standards</t>
  </si>
  <si>
    <t>No Standards</t>
  </si>
  <si>
    <t>2 standards</t>
  </si>
  <si>
    <t>4 Standards</t>
  </si>
  <si>
    <t>12 Standards</t>
  </si>
  <si>
    <t>Dashboard</t>
  </si>
  <si>
    <t>No Dashboard</t>
  </si>
  <si>
    <t>Simple Dashboard</t>
  </si>
  <si>
    <t>Intermediate Dashboard</t>
  </si>
  <si>
    <t>Advanced Dashboard (Projects, turbines, platforms, sites, etc)</t>
  </si>
  <si>
    <t>Tasks</t>
  </si>
  <si>
    <t>No Tasks</t>
  </si>
  <si>
    <t>Basic Task Lists</t>
  </si>
  <si>
    <t xml:space="preserve">Advanced Task Lists </t>
  </si>
  <si>
    <t>Notifications</t>
  </si>
  <si>
    <t>Analytics</t>
  </si>
  <si>
    <t>No Analytics</t>
  </si>
  <si>
    <t>Simple Analytics</t>
  </si>
  <si>
    <t>Advanced Analytics</t>
  </si>
  <si>
    <t>Forms</t>
  </si>
  <si>
    <t>Basic work instruction no editing, one type</t>
  </si>
  <si>
    <t>Editable work instruction</t>
  </si>
  <si>
    <t>Fully formatted, editable work instructions.</t>
  </si>
  <si>
    <t>Approval</t>
  </si>
  <si>
    <t>No approval workflow</t>
  </si>
  <si>
    <t>AE approval workflow</t>
  </si>
  <si>
    <t>AE and Customer approval workflow (document sign off)</t>
  </si>
  <si>
    <t>Doc Management</t>
  </si>
  <si>
    <t>Download File</t>
  </si>
  <si>
    <t>Basic DMS</t>
  </si>
  <si>
    <t>Advanced DMS</t>
  </si>
  <si>
    <t>No interaction</t>
  </si>
  <si>
    <t>Interactive work instructions with logging</t>
  </si>
  <si>
    <t>Include hold points and approvals (on-site use by technician)</t>
  </si>
  <si>
    <t>Access</t>
  </si>
  <si>
    <t>Web browser</t>
  </si>
  <si>
    <t>Web broser</t>
  </si>
  <si>
    <t>Mobile app.</t>
  </si>
  <si>
    <t>User Interface</t>
  </si>
  <si>
    <t>Limited</t>
  </si>
  <si>
    <t>Basic</t>
  </si>
  <si>
    <t>Advanced</t>
  </si>
  <si>
    <t>Number of Seats</t>
  </si>
  <si>
    <t>Enterprise</t>
  </si>
  <si>
    <t>Audit</t>
  </si>
  <si>
    <t>User Dashboard</t>
  </si>
  <si>
    <t>Email</t>
  </si>
  <si>
    <t>Last Contacted</t>
  </si>
  <si>
    <t>Next Contact</t>
  </si>
  <si>
    <t>Delete Account Date</t>
  </si>
  <si>
    <t>t.bakshi@searenergy.com</t>
  </si>
  <si>
    <t>Delete</t>
  </si>
  <si>
    <t>sam.brown@sulmara.com</t>
  </si>
  <si>
    <t>mmajidali88@yahoo.com</t>
  </si>
  <si>
    <t>mickbailey96@gmail.com</t>
  </si>
  <si>
    <t>julie.elvira.popescu@gmail.com</t>
  </si>
  <si>
    <t>nair786manoj@gmail.com</t>
  </si>
  <si>
    <t>alex.blankenstijn@jandenul.com</t>
  </si>
  <si>
    <t>rakeshreddymallidi999@gmail.com</t>
  </si>
  <si>
    <t>EStandard</t>
  </si>
  <si>
    <t>ScotAi Enterprise</t>
  </si>
  <si>
    <t>david.ball@str-subsea.com</t>
  </si>
  <si>
    <t>STE Subsea Enterprise</t>
  </si>
  <si>
    <t>aqueurclothing@gmail.com</t>
  </si>
  <si>
    <t>vengat.vks@gmail.com</t>
  </si>
  <si>
    <t>robert.ross@sgs.com</t>
  </si>
  <si>
    <t>EAdmin</t>
  </si>
  <si>
    <t>SGS Enterprise</t>
  </si>
  <si>
    <t>danjidtk@gmail.com</t>
  </si>
  <si>
    <t>brettusa82@outlook.com</t>
  </si>
  <si>
    <t>Oceanscan Enterprise</t>
  </si>
  <si>
    <t>prashant@euromechanical.com</t>
  </si>
  <si>
    <t>EuroMechanical Enterprise</t>
  </si>
  <si>
    <t>lishadalakkandy@gmail.com</t>
  </si>
  <si>
    <t>scott.sheppard77@gmail.com</t>
  </si>
  <si>
    <t>Estandard</t>
  </si>
  <si>
    <t>Derby Uni Enterprise</t>
  </si>
  <si>
    <t>onedin.sheppard@icloud.com</t>
  </si>
  <si>
    <t>mbailey@derby.ac.uk</t>
  </si>
  <si>
    <t>samwbudd@gmail.com</t>
  </si>
  <si>
    <t>1710 Navy Enterprise</t>
  </si>
  <si>
    <t>iswarayogi09@gmail.com</t>
  </si>
  <si>
    <t>recikis136@pixdd.com</t>
  </si>
  <si>
    <t>krushex@gmx.com</t>
  </si>
  <si>
    <t>A@a.com</t>
  </si>
  <si>
    <t>rakeshreddy9849414327@gmail.com</t>
  </si>
  <si>
    <t>john.bloomfield@film-ocean.com</t>
  </si>
  <si>
    <t>electricwala.mannan@gmail.com</t>
  </si>
  <si>
    <t>milan2015qaladze@gmail.com</t>
  </si>
  <si>
    <t>nilesa4114@dovinou.com</t>
  </si>
  <si>
    <t>danielritchie88@gmail.com</t>
  </si>
  <si>
    <t>ravisinha7282226@gmail.com</t>
  </si>
  <si>
    <t>rhys.forbes@sulmara.com</t>
  </si>
  <si>
    <t>MER23001525@unimail.derby.ac.uk</t>
  </si>
  <si>
    <t>Charlie.Ward2@Rolls-Royce.com</t>
  </si>
  <si>
    <t>Rolls Royce Enterprise</t>
  </si>
  <si>
    <t>j.jueling@deutsche-windtechnik.com</t>
  </si>
  <si>
    <t>h.khan33@unimail.derby.ac.uk</t>
  </si>
  <si>
    <t>macstevenson@live.co.uk</t>
  </si>
  <si>
    <t>Rotork Enterprise</t>
  </si>
  <si>
    <t>andrew.simpson@raytheon.co.uk</t>
  </si>
  <si>
    <t>Raytheon Enterprise</t>
  </si>
  <si>
    <t>mukesh.bajetha@gmail.com</t>
  </si>
  <si>
    <t>mfergus@cumming-group.com</t>
  </si>
  <si>
    <t>Cuming Enterprise</t>
  </si>
  <si>
    <t>yandonald1903@gmail.com</t>
  </si>
  <si>
    <t>Mark.Wilson2@expro.com</t>
  </si>
  <si>
    <t>IPINEDAH.HP@GMAIL.COM</t>
  </si>
  <si>
    <t>ChrisPickworth68@gmail.com</t>
  </si>
  <si>
    <t>Pickworth Enterprise</t>
  </si>
  <si>
    <t>anwesha.om@gmail.com</t>
  </si>
  <si>
    <t>thomaslogan@rovop.com</t>
  </si>
  <si>
    <t>vikki.bruce@rocketmail.com</t>
  </si>
  <si>
    <t>maverick.piccininni@exail.com</t>
  </si>
  <si>
    <t>Exail Enterprise</t>
  </si>
  <si>
    <t>devkaranyadavmilli@gmail.com</t>
  </si>
  <si>
    <t>patayes641@agaseo.com</t>
  </si>
  <si>
    <t>liam.moloney@woodplc.com</t>
  </si>
  <si>
    <t xml:space="preserve">EAdmin </t>
  </si>
  <si>
    <t>Wood Enterprise</t>
  </si>
  <si>
    <t>alex.murdoch13@hotmail.com</t>
  </si>
  <si>
    <t>steven01@gmail.com</t>
  </si>
  <si>
    <t>roneetdas@gmail.com</t>
  </si>
  <si>
    <t>adamjhollis@gmail.com</t>
  </si>
  <si>
    <t>graham@garven.solutions</t>
  </si>
  <si>
    <t>Garvin Solutions Enterprise</t>
  </si>
  <si>
    <t>derek.rutherford@perceptual-robotics.com</t>
  </si>
  <si>
    <t>j.warren16@unimail.derby.ac.uk</t>
  </si>
  <si>
    <t>vha@scanmudring.no</t>
  </si>
  <si>
    <t>Scanmudring Enterprise</t>
  </si>
  <si>
    <t>andrada@socialmediaboutiqueagency.com</t>
  </si>
  <si>
    <t>ethanginno@icloud.com</t>
  </si>
  <si>
    <t>stine.olsen@d-i-s.dk</t>
  </si>
  <si>
    <t>DIS Enterprise</t>
  </si>
  <si>
    <t>harrison.bull@rolls-royce.com</t>
  </si>
  <si>
    <t>nritchie@vpsigroup.com</t>
  </si>
  <si>
    <t>VPSI Enterprise</t>
  </si>
  <si>
    <t>vikki@macleanandbruce.com</t>
  </si>
  <si>
    <t>Macleanan Bruce Enterprise</t>
  </si>
  <si>
    <t>nina.spencer@crewonward.com</t>
  </si>
  <si>
    <t>CrewOnward Enterprise</t>
  </si>
  <si>
    <t>sanjayduttyoyohoney@gmail.com</t>
  </si>
  <si>
    <t>epicken2@gmail.com</t>
  </si>
  <si>
    <t>Picken Enterprise</t>
  </si>
  <si>
    <t>a.gupta@james-fisher.com</t>
  </si>
  <si>
    <t>James-Fisher Enterprise</t>
  </si>
  <si>
    <t>aka76543@gmail.com</t>
  </si>
  <si>
    <t>dylanredmondgray@hotmail.co.uk</t>
  </si>
  <si>
    <t>gm@gmdeco-wind.com</t>
  </si>
  <si>
    <t>guilherme.pinto@sbmoffshore.com</t>
  </si>
  <si>
    <t>SBM Offshore Enterprise</t>
  </si>
  <si>
    <t>crossjdesign@googlemail.com</t>
  </si>
  <si>
    <t>d.goncalves@geosurveys.pt</t>
  </si>
  <si>
    <t>Geosurveys Enterprise</t>
  </si>
  <si>
    <t>gordonpriestly@gmail.com</t>
  </si>
  <si>
    <t>h0910139@gmail.com</t>
  </si>
  <si>
    <t>stephaemerald@awgarstone.com</t>
  </si>
  <si>
    <t>Stuart.rance1989@yahoo.com</t>
  </si>
  <si>
    <t>mosonef793@fresec.com</t>
  </si>
  <si>
    <t>shaun@g7energies.com</t>
  </si>
  <si>
    <t>g7 Energies Enterprise</t>
  </si>
  <si>
    <t>lisawharton@hotmail.com</t>
  </si>
  <si>
    <t>ian.cheyne@score-group.com</t>
  </si>
  <si>
    <t>Score Enterprise</t>
  </si>
  <si>
    <t>mohamed.shaban@hotmail.ca</t>
  </si>
  <si>
    <t>abscott@gexs.org</t>
  </si>
  <si>
    <t>Gexs Enterprise</t>
  </si>
  <si>
    <t>luannagonzaga98@gmail.com</t>
  </si>
  <si>
    <t>vo1gmm@hotmail.com</t>
  </si>
  <si>
    <t>maint@hannahsmethurst.co.uk</t>
  </si>
  <si>
    <t>loupsam24@gmail.com</t>
  </si>
  <si>
    <t>hal.mccorry@ogvenergy.co.uk</t>
  </si>
  <si>
    <t>amavidadj@gmail.com</t>
  </si>
  <si>
    <t>deevejawadhwa.sxs@gmail.com</t>
  </si>
  <si>
    <t>shaun.rankin@seatronics-group.com</t>
  </si>
  <si>
    <t>yangz85@gmail.com</t>
  </si>
  <si>
    <t>edward.moller@harland-wolff.com</t>
  </si>
  <si>
    <t>iain.fullerton@strategybon-accord.com</t>
  </si>
  <si>
    <t>christastuck@yogirt.com</t>
  </si>
  <si>
    <t>Monday</t>
  </si>
  <si>
    <t>Energy Sector M&amp;A &amp; corporate finance in Europe.</t>
  </si>
  <si>
    <t>Tuesday</t>
  </si>
  <si>
    <t>Subsea Tech and Service</t>
  </si>
  <si>
    <t>Wednesday</t>
  </si>
  <si>
    <t>Politics and the defence / energy / aerospace / etc sector.</t>
  </si>
  <si>
    <t>Thursday</t>
  </si>
  <si>
    <t>Energy Transition</t>
  </si>
  <si>
    <t>Friday</t>
  </si>
  <si>
    <t>Football</t>
  </si>
  <si>
    <t>Akva - ScotAi</t>
  </si>
  <si>
    <t>Fortnightly Update Meeting Action Tracker</t>
  </si>
  <si>
    <t>Last Meeting</t>
  </si>
  <si>
    <t>Next Meeting</t>
  </si>
  <si>
    <t>Item</t>
  </si>
  <si>
    <t>Feature</t>
  </si>
  <si>
    <t>Estimated Completion</t>
  </si>
  <si>
    <t>Issue uploading large documents</t>
  </si>
  <si>
    <t>H</t>
  </si>
  <si>
    <t>Issue appears to have been resolved.</t>
  </si>
  <si>
    <t>Instructor Mode</t>
  </si>
  <si>
    <t>5-25 Dec</t>
  </si>
  <si>
    <t>Instructor Mode has required a rebuild of the backend - it is in progress.  This is to include a mini-LMS.</t>
  </si>
  <si>
    <t>Akva Logo in QR Code</t>
  </si>
  <si>
    <t>M</t>
  </si>
  <si>
    <t>Norwegian Input Language</t>
  </si>
  <si>
    <t>Blog Topic: What is bVildR anyway?</t>
  </si>
  <si>
    <t>Sub-Topic: How can it add value to me and my organisation?</t>
  </si>
  <si>
    <t>Purpose: The goal of the article is to to inform, persuade and elevate awareness of the benefits of the bVildR Software Platform</t>
  </si>
  <si>
    <t>Audience: People in the Engineering, Manufacturing, Industrial and associated sectors at varying levels, from decision makers to end-users</t>
  </si>
  <si>
    <t>Desired Tone: Article should be formal, persuasive, or technical, depending on the main topic</t>
  </si>
  <si>
    <t>Scope and Focus</t>
  </si>
  <si>
    <t>Specific Aspects to Address: Benefits to the end-users and problems bVildR solves</t>
  </si>
  <si>
    <t xml:space="preserve">Geographical Focus: UK, Europe and North America </t>
  </si>
  <si>
    <t>Stakeholder Perspectives</t>
  </si>
  <si>
    <t>Desired Perspective: Problems the audience faces at micro and macro levels that bVildR is capable of solving</t>
  </si>
  <si>
    <t>Level of Detail</t>
  </si>
  <si>
    <t>Depth of Analysis: Start with a high-level summary with a detailed and meaningful main body</t>
  </si>
  <si>
    <t>Length of the Report: 1-2 pages</t>
  </si>
  <si>
    <t>Format: MDX</t>
  </si>
  <si>
    <t>Formatting and Style Preferences</t>
  </si>
  <si>
    <t>Formatting Requirements: Logical sections and use of bullet points only where appropriate</t>
  </si>
  <si>
    <t>-------------------------------------------------------------------------------------------------</t>
  </si>
  <si>
    <t>Main Task: web-app landing page copy generator</t>
  </si>
  <si>
    <t>Topic: mAint - AI enhanced workforce optimisation</t>
  </si>
  <si>
    <t>Purpose: The goal of the landing page is to inform, persuade and elevate awareness of the benefits of the mAint Platform</t>
  </si>
  <si>
    <t>Desired Tone: Content should be formal, persuasive, or technical, depending on the section</t>
  </si>
  <si>
    <t>Specific Aspects to Address: Benefits to the end-users and problems mAint solves</t>
  </si>
  <si>
    <t xml:space="preserve">Geographical Focus: None - mAint is a globally accessible web app </t>
  </si>
  <si>
    <t>Desired Perspective: Problems the audience faces at micro and macro levels that mAint is capable of solving</t>
  </si>
  <si>
    <t>Formatting Requirements: Logical content similar in structure to provided copy</t>
  </si>
  <si>
    <t>Exhibitor</t>
  </si>
  <si>
    <t>Postal code</t>
  </si>
  <si>
    <t>City/town</t>
  </si>
  <si>
    <t>Hall / Stand</t>
  </si>
  <si>
    <t>Priority?</t>
  </si>
  <si>
    <t>Demo'd mAint?</t>
  </si>
  <si>
    <t>Interested?</t>
  </si>
  <si>
    <t>A + R Armaturen GmbH</t>
  </si>
  <si>
    <t>D</t>
  </si>
  <si>
    <t>BAD SALZUFLEN</t>
  </si>
  <si>
    <t>03 A77</t>
  </si>
  <si>
    <t>ABB AG</t>
  </si>
  <si>
    <t>MINDEN</t>
  </si>
  <si>
    <t>01 A13</t>
  </si>
  <si>
    <t>ABO valve, s.r.o.</t>
  </si>
  <si>
    <t>CZ</t>
  </si>
  <si>
    <t>OLOMOUC</t>
  </si>
  <si>
    <t>03 A10</t>
  </si>
  <si>
    <t>ACTREG S.A.U</t>
  </si>
  <si>
    <t>E</t>
  </si>
  <si>
    <t>GAVA (BARCELONA)</t>
  </si>
  <si>
    <t>03 A30</t>
  </si>
  <si>
    <t>ACTUATECH SPA</t>
  </si>
  <si>
    <t>I</t>
  </si>
  <si>
    <t>VILLA CARCINA (BS)</t>
  </si>
  <si>
    <t>03 B64</t>
  </si>
  <si>
    <t>Actuation Lab Ltd.</t>
  </si>
  <si>
    <t>GB</t>
  </si>
  <si>
    <t>BS3 4AG</t>
  </si>
  <si>
    <t>BRISTOL</t>
  </si>
  <si>
    <t>01 E32</t>
  </si>
  <si>
    <t>Aero Actuator Co., Ltd.</t>
  </si>
  <si>
    <t>PRC</t>
  </si>
  <si>
    <t>ZHANGJIAGANG, JIANGSU</t>
  </si>
  <si>
    <t>03 H71</t>
  </si>
  <si>
    <t>AIGNEP SPA</t>
  </si>
  <si>
    <t>BIONE (BS)</t>
  </si>
  <si>
    <t>03 B51</t>
  </si>
  <si>
    <t>Air Torque GmbH</t>
  </si>
  <si>
    <t>ETTLINGEN</t>
  </si>
  <si>
    <t>01 B68</t>
  </si>
  <si>
    <t>Air Torque S.p.A.</t>
  </si>
  <si>
    <t>COSTA DI MEZZATE (BG)</t>
  </si>
  <si>
    <t>airpower europe GmbH</t>
  </si>
  <si>
    <t>DATTENBERG</t>
  </si>
  <si>
    <t>01 D52</t>
  </si>
  <si>
    <t>Aisenberg GmbH</t>
  </si>
  <si>
    <t>MÖNCHENGLADBACH</t>
  </si>
  <si>
    <t>03 F43</t>
  </si>
  <si>
    <t>AIV, L.P.</t>
  </si>
  <si>
    <t>HOUSTON, TX</t>
  </si>
  <si>
    <t>03 G66</t>
  </si>
  <si>
    <t>AK Steel International B.V.</t>
  </si>
  <si>
    <t>4815 NZ</t>
  </si>
  <si>
    <t>BREDA</t>
  </si>
  <si>
    <t>03 E26</t>
  </si>
  <si>
    <t>Albrecht-Automatik GmbH</t>
  </si>
  <si>
    <t>PULHEIM</t>
  </si>
  <si>
    <t>01 E66</t>
  </si>
  <si>
    <t>Alfa Gears B.V.</t>
  </si>
  <si>
    <t>7558 PK</t>
  </si>
  <si>
    <t>HENGELO</t>
  </si>
  <si>
    <t>01 A62</t>
  </si>
  <si>
    <t>Alloy Wire International Ltd.</t>
  </si>
  <si>
    <t>DY5 1UF</t>
  </si>
  <si>
    <t>BRIERLEY HILL, WEST MIDLANDS</t>
  </si>
  <si>
    <t>01 C17</t>
  </si>
  <si>
    <t>Alpha Pompe S.p.A.</t>
  </si>
  <si>
    <t>MACLODIO (BS)</t>
  </si>
  <si>
    <t>03 C71</t>
  </si>
  <si>
    <t>Amazon Technocast Pvt. Ltd.</t>
  </si>
  <si>
    <t>IND</t>
  </si>
  <si>
    <t>SHAPAR, RAJKOT, GUJARAT</t>
  </si>
  <si>
    <t>03 A52</t>
  </si>
  <si>
    <t>AMCON CASTINGS PVT. LTD.</t>
  </si>
  <si>
    <t>RAJKOT</t>
  </si>
  <si>
    <t>03 E86</t>
  </si>
  <si>
    <t>AML S.A. Aceros Moldeados de Lacunza S.A.</t>
  </si>
  <si>
    <t>ARBIZU</t>
  </si>
  <si>
    <t>03 D02</t>
  </si>
  <si>
    <t>Anping Senming Wire Mesh Co., Ltd.</t>
  </si>
  <si>
    <t>HENGSHUI</t>
  </si>
  <si>
    <t>03 J44</t>
  </si>
  <si>
    <t>APTEK INSTRUMENTS PVT. LTD.</t>
  </si>
  <si>
    <t>AHMEDABAD, GUJARAT</t>
  </si>
  <si>
    <t>01 B40</t>
  </si>
  <si>
    <t>ARCA Regler GmbH</t>
  </si>
  <si>
    <t>TÖNISVORST</t>
  </si>
  <si>
    <t>03 C52</t>
  </si>
  <si>
    <t>ARI-Armaturen Albert Richter GmbH &amp; Co. KG</t>
  </si>
  <si>
    <t>SCHLOSS HOLTE-STUKENBROCK</t>
  </si>
  <si>
    <t>01 C02</t>
  </si>
  <si>
    <t>Artes Valve</t>
  </si>
  <si>
    <t>VELTEN</t>
  </si>
  <si>
    <t>ARVICO RUBBER INDUSTRIES Partnership Firm</t>
  </si>
  <si>
    <t>MUMBAI</t>
  </si>
  <si>
    <t>01 F02</t>
  </si>
  <si>
    <t>Ascend Torque Co., Ltd.</t>
  </si>
  <si>
    <t>WUXI, JIANGSU</t>
  </si>
  <si>
    <t>03 D01</t>
  </si>
  <si>
    <t>ASKIA GmbH</t>
  </si>
  <si>
    <t>WILLICH</t>
  </si>
  <si>
    <t>01 C41</t>
  </si>
  <si>
    <t>ASTEC Valves Private Limited Company</t>
  </si>
  <si>
    <t>03 C02</t>
  </si>
  <si>
    <t>ASTEKNİK MAKİNA SANAYİ TİCARET A.S</t>
  </si>
  <si>
    <t>TR</t>
  </si>
  <si>
    <t>BURSA</t>
  </si>
  <si>
    <t>03 F13</t>
  </si>
  <si>
    <t>AUMA Riester GmbH &amp; Co. KG</t>
  </si>
  <si>
    <t>MÜLLHEIM</t>
  </si>
  <si>
    <t>03 E74</t>
  </si>
  <si>
    <t>Austin Alloy Cast Pvt Ltd.</t>
  </si>
  <si>
    <t>03 A82</t>
  </si>
  <si>
    <t>Automize Lab. Co., Ltd.</t>
  </si>
  <si>
    <t>J</t>
  </si>
  <si>
    <t>839-0864</t>
  </si>
  <si>
    <t>KURUME CITY, FUKUOKA PREFECTURE</t>
  </si>
  <si>
    <t>01 B31</t>
  </si>
  <si>
    <t>AVA Armaturen Vertrieb Alms GmbH</t>
  </si>
  <si>
    <t>RATINGEN</t>
  </si>
  <si>
    <t>03 C72</t>
  </si>
  <si>
    <t>AWS Apparatebau Arnold GmbH</t>
  </si>
  <si>
    <t>NIEDERNHALL-WALDZIMMERN</t>
  </si>
  <si>
    <t>01 D13</t>
  </si>
  <si>
    <t>AZ Armaturen GmbH</t>
  </si>
  <si>
    <t>MÖNCHWEILER</t>
  </si>
  <si>
    <t>03 C35</t>
  </si>
  <si>
    <t>B.F.E. S.r.l. Bonney Forge</t>
  </si>
  <si>
    <t>ALBANO S. ALESSANDRO (BG)</t>
  </si>
  <si>
    <t>03 D71</t>
  </si>
  <si>
    <t>BAC Valves S.A.</t>
  </si>
  <si>
    <t>FIGUERES (GIRONA)</t>
  </si>
  <si>
    <t>03 D29</t>
  </si>
  <si>
    <t>Baikor Worldwide s.l.</t>
  </si>
  <si>
    <t>ARBIZU (NAVARRA)</t>
  </si>
  <si>
    <t>03 D18</t>
  </si>
  <si>
    <t>Baoyi Group Co., Ltd.</t>
  </si>
  <si>
    <t>WENZHOU, ZHEJIANG</t>
  </si>
  <si>
    <t>03 G74</t>
  </si>
  <si>
    <t>bar pneumatische Steuerungssysteme GmbH</t>
  </si>
  <si>
    <t>01 B50</t>
  </si>
  <si>
    <t>Beijing EASTYIDA Co.,Ltd.</t>
  </si>
  <si>
    <t>BEIJING</t>
  </si>
  <si>
    <t>03 J88</t>
  </si>
  <si>
    <t>Beijing Power International Exhibition Exhibition Co. LTD</t>
  </si>
  <si>
    <t>HK</t>
  </si>
  <si>
    <t>01 E11</t>
  </si>
  <si>
    <t>01 E13</t>
  </si>
  <si>
    <t>Beize Valve Group Co. Ltd.</t>
  </si>
  <si>
    <t>WENZHOU</t>
  </si>
  <si>
    <t>03 B16</t>
  </si>
  <si>
    <t>Berluto-Armaturen GmbH</t>
  </si>
  <si>
    <t>01 B20</t>
  </si>
  <si>
    <t>Bernard Controls S.A.</t>
  </si>
  <si>
    <t>F</t>
  </si>
  <si>
    <t>GONESSE CEDEX</t>
  </si>
  <si>
    <t>01 E18</t>
  </si>
  <si>
    <t>BESA Ing. Santangelo S.p.A.</t>
  </si>
  <si>
    <t>SETTALA (MI)</t>
  </si>
  <si>
    <t>03 A13</t>
  </si>
  <si>
    <t>Böhmer GmbH</t>
  </si>
  <si>
    <t>SPROCKHÖVEL</t>
  </si>
  <si>
    <t>01 C31</t>
  </si>
  <si>
    <t>Bombas Borja, S.A.</t>
  </si>
  <si>
    <t>PATERNA, VALENCIA</t>
  </si>
  <si>
    <t>03 C10</t>
  </si>
  <si>
    <t>Bormann &amp; Neupert by BS&amp;B GmbH</t>
  </si>
  <si>
    <t>DÜSSELDORF</t>
  </si>
  <si>
    <t>03 A53</t>
  </si>
  <si>
    <t>BORSIG ValveTech GmbH</t>
  </si>
  <si>
    <t>BERLIN</t>
  </si>
  <si>
    <t>01 B76</t>
  </si>
  <si>
    <t>Brandoni S.p.A.</t>
  </si>
  <si>
    <t>ROMAGNANO SESIA (NO)</t>
  </si>
  <si>
    <t>03 B05</t>
  </si>
  <si>
    <t>Bray Armaturen &amp; Antriebe GmbH</t>
  </si>
  <si>
    <t>03 D19</t>
  </si>
  <si>
    <t>Bray International Inc</t>
  </si>
  <si>
    <t>Brdr. Christensens ApS</t>
  </si>
  <si>
    <t>HASLEV</t>
  </si>
  <si>
    <t>01 C14</t>
  </si>
  <si>
    <t>Breetec Valve Services BV</t>
  </si>
  <si>
    <t>B</t>
  </si>
  <si>
    <t>AS</t>
  </si>
  <si>
    <t>01 F01</t>
  </si>
  <si>
    <t>Burcelik Vana Sanayi ve Ticaret A.S</t>
  </si>
  <si>
    <t>03 D30</t>
  </si>
  <si>
    <t>Business Key SL</t>
  </si>
  <si>
    <t>PALLEJA</t>
  </si>
  <si>
    <t>01 D60</t>
  </si>
  <si>
    <t>Buxton Special Alloys Ltd.</t>
  </si>
  <si>
    <t>S60 1RU</t>
  </si>
  <si>
    <t>ROTHERHAM</t>
  </si>
  <si>
    <t>01 B59</t>
  </si>
  <si>
    <t>BVAA Ltd.</t>
  </si>
  <si>
    <t>OX16 2SB</t>
  </si>
  <si>
    <t>BANBURY, OXFORDSHIRE</t>
  </si>
  <si>
    <t>01 D31</t>
  </si>
  <si>
    <t>BVALVE Flow, Systems &amp; Controls S.L.U.</t>
  </si>
  <si>
    <t>EL PUIG (VALENCIA)</t>
  </si>
  <si>
    <t>01 C67</t>
  </si>
  <si>
    <t>BYS International GmbH</t>
  </si>
  <si>
    <t>DUISBURG</t>
  </si>
  <si>
    <t>01 E64</t>
  </si>
  <si>
    <t>C-TRU PROCESS EQUIPMENTs</t>
  </si>
  <si>
    <t>GUJARAT</t>
  </si>
  <si>
    <t>03 G32</t>
  </si>
  <si>
    <t>CAM SpA</t>
  </si>
  <si>
    <t>TRESCORE BALNEARIO (BG)</t>
  </si>
  <si>
    <t>01 C57</t>
  </si>
  <si>
    <t>Cangzhou Co-Win Metal Products Co., Ltd.</t>
  </si>
  <si>
    <t>CANGZHOU, HEBEI</t>
  </si>
  <si>
    <t>03 C74</t>
  </si>
  <si>
    <t>Cangzhou Haoxing Hardware Manufacturing Co., Ltd</t>
  </si>
  <si>
    <t>03 A66</t>
  </si>
  <si>
    <t>CANGZHOU HELI MACHINERY CO., LTD.</t>
  </si>
  <si>
    <t>CANGZHOU</t>
  </si>
  <si>
    <t>03 A85</t>
  </si>
  <si>
    <t>Cangzhou Qunfeng Stainless Steel Products Co., Ltd.</t>
  </si>
  <si>
    <t>01 F61</t>
  </si>
  <si>
    <t>Carraro S.r.l.</t>
  </si>
  <si>
    <t>SEGRATE (MI)</t>
  </si>
  <si>
    <t>03 C53</t>
  </si>
  <si>
    <t>CASTECH Foundries Pvt. Ltd.</t>
  </si>
  <si>
    <t>JUNAGADH, GUJARAT</t>
  </si>
  <si>
    <t>03 H66</t>
  </si>
  <si>
    <t>Castflow Valves SL</t>
  </si>
  <si>
    <t>HUMANES DE MADRID</t>
  </si>
  <si>
    <t>03 C28</t>
  </si>
  <si>
    <t>Celeros Flow Technology Corporation</t>
  </si>
  <si>
    <t>CHARLOTTE, NC</t>
  </si>
  <si>
    <t>03 F25</t>
  </si>
  <si>
    <t>CENTRE FOR COMPUTATIONAL TECHNOLOGIES PRIVATE LIMITED</t>
  </si>
  <si>
    <t>PUNE</t>
  </si>
  <si>
    <t>01 A08</t>
  </si>
  <si>
    <t>CERA SYSTEM Verschleißschutz GmbH</t>
  </si>
  <si>
    <t>HERMSDORF</t>
  </si>
  <si>
    <t>01 A75</t>
  </si>
  <si>
    <t>Chaoda Valves Group Co., Ltd.</t>
  </si>
  <si>
    <t>YONGJIA, ZHEJIANG, WENZHOU</t>
  </si>
  <si>
    <t>03 D73</t>
  </si>
  <si>
    <t>ChemValve - Schmid AG Valve Technology</t>
  </si>
  <si>
    <t>CH</t>
  </si>
  <si>
    <t>WELSCHENROHR</t>
  </si>
  <si>
    <t>01 A31</t>
  </si>
  <si>
    <t>CHISUN VALVE CO., LTD.</t>
  </si>
  <si>
    <t>WENZHOU CITY, ZHEJIANG</t>
  </si>
  <si>
    <t>03 G44</t>
  </si>
  <si>
    <t>Chizhou Sega Valve Manufacturing Co., Ltd.</t>
  </si>
  <si>
    <t>CHIZHOU, ANHUI</t>
  </si>
  <si>
    <t>03 F02</t>
  </si>
  <si>
    <t>Clifford Springs Ltd</t>
  </si>
  <si>
    <t>B97 6DE</t>
  </si>
  <si>
    <t>REDDITCH</t>
  </si>
  <si>
    <t>01 D31-3</t>
  </si>
  <si>
    <t>CMA TEC SRL</t>
  </si>
  <si>
    <t>TOSCANELLA DI DOZZA</t>
  </si>
  <si>
    <t>03 G53</t>
  </si>
  <si>
    <t>CMO VALVES TECHNOLOGY, S.L.</t>
  </si>
  <si>
    <t>TOLOSA (GIPUZKOA)</t>
  </si>
  <si>
    <t>03 E43</t>
  </si>
  <si>
    <t>COGNE Edelstahl GmbH</t>
  </si>
  <si>
    <t>NEUSS</t>
  </si>
  <si>
    <t>03 B93</t>
  </si>
  <si>
    <t>Coi Technology Srl</t>
  </si>
  <si>
    <t>SAN GIULIANO MILANESE (MI)</t>
  </si>
  <si>
    <t>Combet Valves BV</t>
  </si>
  <si>
    <t>3992DE</t>
  </si>
  <si>
    <t>HOUTEN</t>
  </si>
  <si>
    <t>03 F24</t>
  </si>
  <si>
    <t>COMEVAL VALVE SYSTEMS S.L. Y CIA., SOC. COMANDITARIA</t>
  </si>
  <si>
    <t>01 A04</t>
  </si>
  <si>
    <t>Comparato Nello srl Sistemi Idrotermici</t>
  </si>
  <si>
    <t>CAIRO MONTENOTTE</t>
  </si>
  <si>
    <t>03 E39</t>
  </si>
  <si>
    <t>Conflow S.p.A.</t>
  </si>
  <si>
    <t>AGRATE BRIANZA (MB)</t>
  </si>
  <si>
    <t>01 E78</t>
  </si>
  <si>
    <t>Cornerstone Valve LLC</t>
  </si>
  <si>
    <t>03 E01</t>
  </si>
  <si>
    <t>Crane ChemPharma &amp; Energy Xomox International GmbH &amp; Co. OHG</t>
  </si>
  <si>
    <t>LINDAU (BODENSEE)</t>
  </si>
  <si>
    <t>03 E51</t>
  </si>
  <si>
    <t>Createc GmbH &amp; Co. KG</t>
  </si>
  <si>
    <t>FRIEDRICHSHAFEN</t>
  </si>
  <si>
    <t>01 C13</t>
  </si>
  <si>
    <t>Creative Castings Limited</t>
  </si>
  <si>
    <t>03 A54</t>
  </si>
  <si>
    <t>Cross Manufacturing (1938) Ltd</t>
  </si>
  <si>
    <t>BA2 5RR</t>
  </si>
  <si>
    <t>BATH</t>
  </si>
  <si>
    <t>01 D31-5</t>
  </si>
  <si>
    <t>CTV Armaturen &amp; Penstocks GmbH</t>
  </si>
  <si>
    <t>EMSBÜREN</t>
  </si>
  <si>
    <t>03 E33</t>
  </si>
  <si>
    <t>CZTV-Zhongtai Valve Co.,Ltd.</t>
  </si>
  <si>
    <t>YONGJIA, WENZHOU</t>
  </si>
  <si>
    <t>03 D14</t>
  </si>
  <si>
    <t>D.R.T. Dispositivi Regolazione e Tenuta di Stach E., Stach R. &amp; C. snc</t>
  </si>
  <si>
    <t>MILANO</t>
  </si>
  <si>
    <t>03 B63</t>
  </si>
  <si>
    <t>DAVINCI VALVES LTD</t>
  </si>
  <si>
    <t>CHENGDU</t>
  </si>
  <si>
    <t>03 F33</t>
  </si>
  <si>
    <t>DBV Valve Co.,LTD.</t>
  </si>
  <si>
    <t>03 F36</t>
  </si>
  <si>
    <t>Deloro Wear Solutions GmbH</t>
  </si>
  <si>
    <t>KOBLENZ</t>
  </si>
  <si>
    <t>01 E77</t>
  </si>
  <si>
    <t>Densiq Group</t>
  </si>
  <si>
    <t>S</t>
  </si>
  <si>
    <t>421 31</t>
  </si>
  <si>
    <t>VÄSTRA FRÖLUNDA</t>
  </si>
  <si>
    <t>01 E42</t>
  </si>
  <si>
    <t>DHV Industries, Inc.</t>
  </si>
  <si>
    <t>BAKERSFIELD, CA</t>
  </si>
  <si>
    <t>03 B44</t>
  </si>
  <si>
    <t>Di Nicola Infinam srl</t>
  </si>
  <si>
    <t>SAN GIOVANNI TEATINO</t>
  </si>
  <si>
    <t>01 D71</t>
  </si>
  <si>
    <t>Didtek Valve Group Co. Ltd</t>
  </si>
  <si>
    <t>01 E24</t>
  </si>
  <si>
    <t>DKY VALVES&amp;CONTROLS DIKKAYA SU KONTROL SISTEMLERI SAN VE TIC A.Ş.</t>
  </si>
  <si>
    <t>IZMIR</t>
  </si>
  <si>
    <t>03 E09</t>
  </si>
  <si>
    <t>Dogus Vana ve Dokum San Tic A.S.</t>
  </si>
  <si>
    <t>01 B03</t>
  </si>
  <si>
    <t>Doruk Endustri Malz. Muh. Ltd. Sti. PROVAL Process Valves&amp;Automation Systems</t>
  </si>
  <si>
    <t>DILOVASI/KOCAELI</t>
  </si>
  <si>
    <t>03 B58</t>
  </si>
  <si>
    <t>DRW Industrietechnik GmbH</t>
  </si>
  <si>
    <t>DORTMUND</t>
  </si>
  <si>
    <t>03 B65</t>
  </si>
  <si>
    <t>DSS Valves International Limited Corporation</t>
  </si>
  <si>
    <t>CDN</t>
  </si>
  <si>
    <t>V5X 4V6</t>
  </si>
  <si>
    <t>VANCOUVER</t>
  </si>
  <si>
    <t>01 A30</t>
  </si>
  <si>
    <t>DUNCAN ENGINEERING LIMITED</t>
  </si>
  <si>
    <t>03 B41</t>
  </si>
  <si>
    <t>DURIT Hartmetall GmbH</t>
  </si>
  <si>
    <t>WUPPERTAL</t>
  </si>
  <si>
    <t>01 D58</t>
  </si>
  <si>
    <t>Duvalco UK Ltd.</t>
  </si>
  <si>
    <t>PE29 7EB</t>
  </si>
  <si>
    <t>HUNGTINGDON, CAMBRIDGE</t>
  </si>
  <si>
    <t>03 B91</t>
  </si>
  <si>
    <t>Duyar Vana Makina San. Ve Tic. A.S.</t>
  </si>
  <si>
    <t>ISTANBUL</t>
  </si>
  <si>
    <t>01 A33</t>
  </si>
  <si>
    <t>Dynamic Corporation Limited</t>
  </si>
  <si>
    <t>WUHAN, HUBEI PROVINCE</t>
  </si>
  <si>
    <t>03 B81</t>
  </si>
  <si>
    <t>ECI European Casting Industry Srl</t>
  </si>
  <si>
    <t>MILAN</t>
  </si>
  <si>
    <t>01 E67</t>
  </si>
  <si>
    <t>Eckart GmbH</t>
  </si>
  <si>
    <t>SCHLÜCHTERN</t>
  </si>
  <si>
    <t>01 A80</t>
  </si>
  <si>
    <t>EFCO Maschinenbau GmbH</t>
  </si>
  <si>
    <t>DÜREN</t>
  </si>
  <si>
    <t>01 B33</t>
  </si>
  <si>
    <t>Effebi S.p.a.</t>
  </si>
  <si>
    <t>BOVEZZO (BS)</t>
  </si>
  <si>
    <t>03 D36</t>
  </si>
  <si>
    <t>Effeciemme Componenti S.r.l.</t>
  </si>
  <si>
    <t>CARNAGO (VA)</t>
  </si>
  <si>
    <t>01 E23</t>
  </si>
  <si>
    <t>EGE Endüstriyel Kontrol A.S.</t>
  </si>
  <si>
    <t>03 E36</t>
  </si>
  <si>
    <t>Electronica Tungsten Limited</t>
  </si>
  <si>
    <t>NASHIK, DIST-NASHIK</t>
  </si>
  <si>
    <t>03 C43</t>
  </si>
  <si>
    <t>Elfo Srl</t>
  </si>
  <si>
    <t>FIORENZUOLA D'ARDA (PC)</t>
  </si>
  <si>
    <t>01 A26</t>
  </si>
  <si>
    <t>Elite Line Industrial Corp.</t>
  </si>
  <si>
    <t>RC</t>
  </si>
  <si>
    <t>KAOHSIUNG CITY</t>
  </si>
  <si>
    <t>03 F73</t>
  </si>
  <si>
    <t>ElringKlinger Kunststofftechnik GmbH</t>
  </si>
  <si>
    <t>BIETIGHEIM-BISSINGEN</t>
  </si>
  <si>
    <t>03 B59</t>
  </si>
  <si>
    <t>Emerson</t>
  </si>
  <si>
    <t>LANGENFELD</t>
  </si>
  <si>
    <t>01 C52</t>
  </si>
  <si>
    <t>EMG Automation GmbH</t>
  </si>
  <si>
    <t>WENDEN</t>
  </si>
  <si>
    <t>03 F77</t>
  </si>
  <si>
    <t>Engineering Fluid Solutions sl EFSVALVES</t>
  </si>
  <si>
    <t>SANT JOAN DESPI (BARCELONA)</t>
  </si>
  <si>
    <t>03 G39-1</t>
  </si>
  <si>
    <t>Etansari Grafex SRL</t>
  </si>
  <si>
    <t>RO</t>
  </si>
  <si>
    <t>PLOIESTI</t>
  </si>
  <si>
    <t>03 C89</t>
  </si>
  <si>
    <t>Eternal Alloy Cast Pvt. Ltd.</t>
  </si>
  <si>
    <t>HADAMTALA, RAJKOT DISTRICT, GUJARAT</t>
  </si>
  <si>
    <t>03 A29</t>
  </si>
  <si>
    <t>Eural Gnutti S.P.A.</t>
  </si>
  <si>
    <t>ROVATO (BS)</t>
  </si>
  <si>
    <t>01 F47</t>
  </si>
  <si>
    <t>EUROTEC Antriebszubehör GmbH</t>
  </si>
  <si>
    <t>LANGENARGEN</t>
  </si>
  <si>
    <t>01 B32</t>
  </si>
  <si>
    <t>F.I.R.S.T. GmbH</t>
  </si>
  <si>
    <t>WERMELSKIRCHEN</t>
  </si>
  <si>
    <t>01 C51</t>
  </si>
  <si>
    <t>FANGZHENG VALVE GROUP CO.,LTD</t>
  </si>
  <si>
    <t>WENZHOU CITY , ZHEJIANG</t>
  </si>
  <si>
    <t>03 A45</t>
  </si>
  <si>
    <t>FBV INC.</t>
  </si>
  <si>
    <t>BROOKSHIRE, TX</t>
  </si>
  <si>
    <t>03 E35</t>
  </si>
  <si>
    <t>FEIXIAN DALU VALVE CO., LTD</t>
  </si>
  <si>
    <t>LINYI, SHANDONG</t>
  </si>
  <si>
    <t>03 G28</t>
  </si>
  <si>
    <t>FERESPE Fundição de Ferro e Aço, Lda</t>
  </si>
  <si>
    <t>P</t>
  </si>
  <si>
    <t>4760-485</t>
  </si>
  <si>
    <t>FRADELOS</t>
  </si>
  <si>
    <t>01 D16</t>
  </si>
  <si>
    <t>Flammer GmbH</t>
  </si>
  <si>
    <t>CLEEBRONN</t>
  </si>
  <si>
    <t>01 B18</t>
  </si>
  <si>
    <t>Flowinn (Shanghai) Industrial Co., Ltd.</t>
  </si>
  <si>
    <t>SHANGHAI CITY</t>
  </si>
  <si>
    <t>01 B39</t>
  </si>
  <si>
    <t>Fluid Handling Technology, S.A.</t>
  </si>
  <si>
    <t>MUNGIA</t>
  </si>
  <si>
    <t>03 E58</t>
  </si>
  <si>
    <t>Fluonics Co., Ltd.</t>
  </si>
  <si>
    <t>ROK</t>
  </si>
  <si>
    <t>WONJU-SI, GANGWON-DO</t>
  </si>
  <si>
    <t>03 B35</t>
  </si>
  <si>
    <t>FluoroSeal Inc.</t>
  </si>
  <si>
    <t>H8T 2N8</t>
  </si>
  <si>
    <t>LACHINE, QC</t>
  </si>
  <si>
    <t>03 E34</t>
  </si>
  <si>
    <t>FLUOROTECH ENGINEERING PVT LTD</t>
  </si>
  <si>
    <t>PUNE, MAHARASHTRA</t>
  </si>
  <si>
    <t>03 F85</t>
  </si>
  <si>
    <t>FORCAS IMPEX PRIVATE LIMITED</t>
  </si>
  <si>
    <t>AHMEDNAGAR, MAHARASHTRA</t>
  </si>
  <si>
    <t>03 A58</t>
  </si>
  <si>
    <t>Fortune Valve Co. Ltd.</t>
  </si>
  <si>
    <t>V6W 1J9</t>
  </si>
  <si>
    <t>RICHMOND</t>
  </si>
  <si>
    <t>01 E26</t>
  </si>
  <si>
    <t>Franz Dürholdt GmbH &amp; Co. KG Industriearmaturen</t>
  </si>
  <si>
    <t>01 A51</t>
  </si>
  <si>
    <t>Fromme Armaturen GmbH &amp; Co. KG</t>
  </si>
  <si>
    <t>HAVERLAH</t>
  </si>
  <si>
    <t>03 D15</t>
  </si>
  <si>
    <t>FRValve (SUZHOU) Corp Ltd</t>
  </si>
  <si>
    <t>SUZHOU, JIANGSU</t>
  </si>
  <si>
    <t>03 E29</t>
  </si>
  <si>
    <t>FUTURE HOLDING GROUP CO.,LTD</t>
  </si>
  <si>
    <t>03 G37</t>
  </si>
  <si>
    <t>G M ENGINEERING PRIVATE LIMITED</t>
  </si>
  <si>
    <t>03 G35-1</t>
  </si>
  <si>
    <t>GEDİK TERMO VANA SAN.VE TİC.A.Ş.</t>
  </si>
  <si>
    <t>01 E14</t>
  </si>
  <si>
    <t>Genebre S.A.</t>
  </si>
  <si>
    <t>L' HOSPITALET DE LLOBREGAT, BARCELONA</t>
  </si>
  <si>
    <t>01 C23</t>
  </si>
  <si>
    <t>GFD Gesellschaft für Dichtungstechnik mbH</t>
  </si>
  <si>
    <t>BRACKENHEIM</t>
  </si>
  <si>
    <t>03 H46</t>
  </si>
  <si>
    <t>GG Valves pvt ltd.</t>
  </si>
  <si>
    <t>UDAIPUR, RAJASTHAN</t>
  </si>
  <si>
    <t>01 C48</t>
  </si>
  <si>
    <t>GINICE CO., LTD</t>
  </si>
  <si>
    <t>BUCHEON, GYEONGGI</t>
  </si>
  <si>
    <t>01 B10</t>
  </si>
  <si>
    <t>GITIS Srl</t>
  </si>
  <si>
    <t>CAPRIOLO</t>
  </si>
  <si>
    <t>01 E82</t>
  </si>
  <si>
    <t>GL Ludemann Armaturen GmbH</t>
  </si>
  <si>
    <t>KÖLN</t>
  </si>
  <si>
    <t>01 B57</t>
  </si>
  <si>
    <t>Göpfert AG</t>
  </si>
  <si>
    <t>WEDDINGSTEDT</t>
  </si>
  <si>
    <t>01 E06</t>
  </si>
  <si>
    <t>Grande-Tek Flow Control Co., Ltd.</t>
  </si>
  <si>
    <t>01 D64</t>
  </si>
  <si>
    <t>GSR Ventiltechnik GmbH &amp; Co. KG</t>
  </si>
  <si>
    <t>VLOTHO</t>
  </si>
  <si>
    <t>03 B20</t>
  </si>
  <si>
    <t>GTS GmbH German Techno Seals</t>
  </si>
  <si>
    <t>ICHENHAUSEN</t>
  </si>
  <si>
    <t>01 E58</t>
  </si>
  <si>
    <t>Guangzhou JST Seals Technology Co., Ltd.</t>
  </si>
  <si>
    <t>GUANGZHOU</t>
  </si>
  <si>
    <t>03 J60</t>
  </si>
  <si>
    <t>Guangzhou Oneness Technology Co., Ltd</t>
  </si>
  <si>
    <t>GUANGZHOU, CHINA</t>
  </si>
  <si>
    <t>01 D80</t>
  </si>
  <si>
    <t>Gujarat Precision Cast Pvt. Ltd.</t>
  </si>
  <si>
    <t>360 024</t>
  </si>
  <si>
    <t>RAJKOT, GUJARAT</t>
  </si>
  <si>
    <t>01 A03</t>
  </si>
  <si>
    <t>Gulf Valve Casting Specialities FZE</t>
  </si>
  <si>
    <t>SHARJAH</t>
  </si>
  <si>
    <t>01 E85</t>
  </si>
  <si>
    <t>HAFNER Pneumatik Krämer GmbH &amp; Co. KG</t>
  </si>
  <si>
    <t>KORNWESTHEIM</t>
  </si>
  <si>
    <t>03 B29</t>
  </si>
  <si>
    <t>Hangzhou DARHOR TECHNOLOGY CO.,LIMITED</t>
  </si>
  <si>
    <t>HANGZHOU CITY</t>
  </si>
  <si>
    <t>03 J68</t>
  </si>
  <si>
    <t>HANSOM (NANJING) TECHNOLOGIES CO.,LTD.</t>
  </si>
  <si>
    <t>NANJING</t>
  </si>
  <si>
    <t>03 J70</t>
  </si>
  <si>
    <t>Harita Castings PVT LTD</t>
  </si>
  <si>
    <t>PIPALIYA GONDAL RAJKOT</t>
  </si>
  <si>
    <t>03 A01</t>
  </si>
  <si>
    <t>Hartmann Valves GmbH</t>
  </si>
  <si>
    <t>BURGDORF-EHLERSHAUSEN</t>
  </si>
  <si>
    <t>01 B75</t>
  </si>
  <si>
    <t>Hatec Flex GmbH</t>
  </si>
  <si>
    <t>MÜLHEIM</t>
  </si>
  <si>
    <t>03 A06</t>
  </si>
  <si>
    <t>HEBEI JIMENG HIGHSTRENGTH FLANG-TUBES GROUP CO.,LTD</t>
  </si>
  <si>
    <t>CANGZHOU CITY, HEBEI PROVINCE</t>
  </si>
  <si>
    <t>Hebei Keyang Flow Control Technology Co.</t>
  </si>
  <si>
    <t>03 G23</t>
  </si>
  <si>
    <t>HEBEI OUHAO PIPELINE EQUIPMENT CO., LTD</t>
  </si>
  <si>
    <t>03 A79</t>
  </si>
  <si>
    <t>HEBEI VALF INTERNATIONAL TRADE CO.,LTD</t>
  </si>
  <si>
    <t>SHIJIAZHUANG, HEBEI</t>
  </si>
  <si>
    <t>03 J38</t>
  </si>
  <si>
    <t>HEBEI XINFENG HIGH-PRESSURE FLANGE AND PIPE FITTING CO.,LTD</t>
  </si>
  <si>
    <t>CANGZHOU, HEIBEI</t>
  </si>
  <si>
    <t>01 D79</t>
  </si>
  <si>
    <t>Hebei Xinyue High Pressure Flange and Pipe Fitting Co., Ltd.</t>
  </si>
  <si>
    <t>CANGZHOU CITY, HEBEI</t>
  </si>
  <si>
    <t>Heinrich Eibach GmbH</t>
  </si>
  <si>
    <t>FINNENTROP</t>
  </si>
  <si>
    <t>01 B14</t>
  </si>
  <si>
    <t>Hels Endüstriyel MAM. SAN. TIC. LTD. STI</t>
  </si>
  <si>
    <t>01 E52</t>
  </si>
  <si>
    <t>Henan Fleu Valve Co., Ltd.</t>
  </si>
  <si>
    <t>ZHENGZHOU</t>
  </si>
  <si>
    <t>03 J84</t>
  </si>
  <si>
    <t>HEROSE GmbH Armaturen und Metalle</t>
  </si>
  <si>
    <t>BAD OLDESLOE</t>
  </si>
  <si>
    <t>01 A55</t>
  </si>
  <si>
    <t>HIPPO VALVE CO., LTD.</t>
  </si>
  <si>
    <t>NEW TAIPEI CITY</t>
  </si>
  <si>
    <t>03 B39</t>
  </si>
  <si>
    <t>HITON SPECIAL VALVE CO.,LTD.</t>
  </si>
  <si>
    <t>03 G22</t>
  </si>
  <si>
    <t>HKC Co., Ltd.</t>
  </si>
  <si>
    <t>GYEONGGI-DO</t>
  </si>
  <si>
    <t>01 C83</t>
  </si>
  <si>
    <t>Hoerbiger Flow Control GmbH</t>
  </si>
  <si>
    <t>ALTENSTADT</t>
  </si>
  <si>
    <t>01 C66</t>
  </si>
  <si>
    <t>Hohhot Monva Valve Co., Ltd.</t>
  </si>
  <si>
    <t>HOHHOT</t>
  </si>
  <si>
    <t>03 G68</t>
  </si>
  <si>
    <t>HQTS Group Limited</t>
  </si>
  <si>
    <t>HONG KONG</t>
  </si>
  <si>
    <t>03 D87</t>
  </si>
  <si>
    <t>Hsin Huang Precision Technology Co., Ltd</t>
  </si>
  <si>
    <t>CHANGHUA COUNTY</t>
  </si>
  <si>
    <t>03 C58</t>
  </si>
  <si>
    <t>HUIZHENG AUTOMATIC CONTROL VALVE GROUP CO.,LTD</t>
  </si>
  <si>
    <t>WENZHOU CITY, ZHEJIANG PROVINCE</t>
  </si>
  <si>
    <t>03 B94</t>
  </si>
  <si>
    <t>Huludao Daken Passive Fire Proofing Co., Co.,Ltd</t>
  </si>
  <si>
    <t>HULUDAO, LIAONING</t>
  </si>
  <si>
    <t>03 E85</t>
  </si>
  <si>
    <t>i-Tork Contorls Co., Ltd.</t>
  </si>
  <si>
    <t>BUCHEON-SI, GYEONGGI-DO</t>
  </si>
  <si>
    <t>01 F57</t>
  </si>
  <si>
    <t>ID Insert Deal Srl</t>
  </si>
  <si>
    <t>VILLASANTA (MB)</t>
  </si>
  <si>
    <t>01 A07</t>
  </si>
  <si>
    <t>IDT Industrie- und Dichtungstechnik GmbH</t>
  </si>
  <si>
    <t>ESSEN</t>
  </si>
  <si>
    <t>01 D57</t>
  </si>
  <si>
    <t>IMP Armature d.o.o. production of industrial valves</t>
  </si>
  <si>
    <t>SLO</t>
  </si>
  <si>
    <t>IVANČNA GORICA</t>
  </si>
  <si>
    <t>01 E10</t>
  </si>
  <si>
    <t>Industrial Spares Mfg &amp; Trading Co., Ltd (ISMAT)</t>
  </si>
  <si>
    <t>600 096</t>
  </si>
  <si>
    <t>CHENNAI</t>
  </si>
  <si>
    <t>03 E13</t>
  </si>
  <si>
    <t>INEM Co., Ltd.</t>
  </si>
  <si>
    <t>DAEJEON</t>
  </si>
  <si>
    <t>01 E68</t>
  </si>
  <si>
    <t>INFINITY CAST</t>
  </si>
  <si>
    <t>03 A46</t>
  </si>
  <si>
    <t>INGENIERÍA Y SERVICIOS EN ACUSTICA, IBERACUSTICA SL</t>
  </si>
  <si>
    <t>VENTA DE BAÑOS</t>
  </si>
  <si>
    <t>01 F48</t>
  </si>
  <si>
    <t>Inova Cast Pvt Ltd</t>
  </si>
  <si>
    <t>SHAPAR, VERAVAL</t>
  </si>
  <si>
    <t>03 D88</t>
  </si>
  <si>
    <t>Intoco Special Steels &amp; Alloys Ltd.</t>
  </si>
  <si>
    <t>GL51 6SX</t>
  </si>
  <si>
    <t>GLOUCESTER, GLOUCESTERSHIRE</t>
  </si>
  <si>
    <t>01 E05</t>
  </si>
  <si>
    <t>Invent Cast Pvt. Ltd.</t>
  </si>
  <si>
    <t>03 A64</t>
  </si>
  <si>
    <t>Ire-Omba S.p.a.</t>
  </si>
  <si>
    <t>BERGAMO</t>
  </si>
  <si>
    <t>01 B25</t>
  </si>
  <si>
    <t>J.D. Jones &amp; Co. (P) Ltd.</t>
  </si>
  <si>
    <t>KOLKATA</t>
  </si>
  <si>
    <t>03 C19</t>
  </si>
  <si>
    <t>James Walker Ltd</t>
  </si>
  <si>
    <t>GU22 8AP</t>
  </si>
  <si>
    <t>WOKING, SURREY</t>
  </si>
  <si>
    <t>01 D17</t>
  </si>
  <si>
    <t>JC FABRICA DE VALVULAS S.A.U.</t>
  </si>
  <si>
    <t>SANT BOI DEL LLOBREGAT</t>
  </si>
  <si>
    <t>03 B27</t>
  </si>
  <si>
    <t>JEONGDO Machinery Co., Ltd.</t>
  </si>
  <si>
    <t>GIMPO-SI, GYEONGGI-DO</t>
  </si>
  <si>
    <t>03 E21</t>
  </si>
  <si>
    <t>Jiangsu Aidi Electromechanical Equipment Industry Co.,Ltd.</t>
  </si>
  <si>
    <t>NANJING, JIANGSU</t>
  </si>
  <si>
    <t>03 G42</t>
  </si>
  <si>
    <t>Jiangsu Metals Valve High-Tech Co.,Ltd.</t>
  </si>
  <si>
    <t>YIXING, JIANGSU</t>
  </si>
  <si>
    <t>03 H82</t>
  </si>
  <si>
    <t>JIANGSU VALVE INDUSTRY ASSOCIATION</t>
  </si>
  <si>
    <t>SUZHOU</t>
  </si>
  <si>
    <t>01 A86</t>
  </si>
  <si>
    <t>Jiangxi Baoshunchang Super Alloy Co.,Ltd</t>
  </si>
  <si>
    <t>XINYU</t>
  </si>
  <si>
    <t>03 H85</t>
  </si>
  <si>
    <t>Jiashan Sinhai Precision Casting Co., Ltd.</t>
  </si>
  <si>
    <t>JIAXING, ZHEJIANG</t>
  </si>
  <si>
    <t>03 B42</t>
  </si>
  <si>
    <t>JINHE SPECIAL MATERIAL MANUCTURE CO.LTD</t>
  </si>
  <si>
    <t>03 F08</t>
  </si>
  <si>
    <t>JJ BCN Internacional, S.A.</t>
  </si>
  <si>
    <t>CARDEDEU</t>
  </si>
  <si>
    <t>03 D40</t>
  </si>
  <si>
    <t>John-Valve Mfg Factory Co., Ltd.</t>
  </si>
  <si>
    <t>TAICHUNG CITY</t>
  </si>
  <si>
    <t>03 B09</t>
  </si>
  <si>
    <t>JOYNER pneumatic GmbH</t>
  </si>
  <si>
    <t>KORNTAL-MÜNCHINGEN</t>
  </si>
  <si>
    <t>Jujing Plastic Industry Co., Ltd</t>
  </si>
  <si>
    <t>03 J64</t>
  </si>
  <si>
    <t>KACE Ball Valves</t>
  </si>
  <si>
    <t>SUGAR LAND, TX</t>
  </si>
  <si>
    <t>01 C40</t>
  </si>
  <si>
    <t>KANGSAITE AUTOMATION GROUP CO.,LTD</t>
  </si>
  <si>
    <t>WENZHOU, ZHEJIANG.</t>
  </si>
  <si>
    <t>KCI GmbH</t>
  </si>
  <si>
    <t>KLEVE</t>
  </si>
  <si>
    <t>01 C01</t>
  </si>
  <si>
    <t>Keshrinandan Casting LLP</t>
  </si>
  <si>
    <t>03 G84</t>
  </si>
  <si>
    <t>Kingdom Flow Control Co., Ltd.</t>
  </si>
  <si>
    <t>KAOHSIUNG</t>
  </si>
  <si>
    <t>03 B72</t>
  </si>
  <si>
    <t>KITZ Corporation</t>
  </si>
  <si>
    <t>105-7305</t>
  </si>
  <si>
    <t>TOKYO</t>
  </si>
  <si>
    <t>03 E63</t>
  </si>
  <si>
    <t>Klaus Union GmbH &amp; Co. KG</t>
  </si>
  <si>
    <t>BOCHUM</t>
  </si>
  <si>
    <t>01 D27</t>
  </si>
  <si>
    <t>KOFLOW VALVE GROUP CO., LTD</t>
  </si>
  <si>
    <t>03 H84-1</t>
  </si>
  <si>
    <t>Kong Jih Valve Industrial Co., Ltd.</t>
  </si>
  <si>
    <t>TAICHUNG</t>
  </si>
  <si>
    <t>03 A34</t>
  </si>
  <si>
    <t>KOSAPLUS Co., Ltd.</t>
  </si>
  <si>
    <t>01 A39</t>
  </si>
  <si>
    <t>KSB SE &amp; Co. KGaA</t>
  </si>
  <si>
    <t>FRANKENTHAL</t>
  </si>
  <si>
    <t>03 D63</t>
  </si>
  <si>
    <t>Kugelhahn Müller GmbH</t>
  </si>
  <si>
    <t>L&amp;T Valves Limited</t>
  </si>
  <si>
    <t>CHENNAI, TAMIL NADU</t>
  </si>
  <si>
    <t>03 G45</t>
  </si>
  <si>
    <t>LAIZHOU DONGSHENG VALVE CO.,LTD</t>
  </si>
  <si>
    <t>LAIZHOU CITY, SHANDONG PROVINCE</t>
  </si>
  <si>
    <t>03 G24</t>
  </si>
  <si>
    <t>Latty International S.A.</t>
  </si>
  <si>
    <t>ORSAY</t>
  </si>
  <si>
    <t>01 E74</t>
  </si>
  <si>
    <t>Laxmi Industries</t>
  </si>
  <si>
    <t>JALANDHAR</t>
  </si>
  <si>
    <t>03 G36</t>
  </si>
  <si>
    <t>LCMA S.A.</t>
  </si>
  <si>
    <t>L</t>
  </si>
  <si>
    <t>BETTEMBOURG</t>
  </si>
  <si>
    <t>01 B04</t>
  </si>
  <si>
    <t>LEAD VALVE CO LTD</t>
  </si>
  <si>
    <t>SHANGHAI</t>
  </si>
  <si>
    <t>03 B15</t>
  </si>
  <si>
    <t>Lee Spring GmbH</t>
  </si>
  <si>
    <t>LÜDENSCHEID</t>
  </si>
  <si>
    <t>01 B64</t>
  </si>
  <si>
    <t>LESER GmbH &amp; Co KG</t>
  </si>
  <si>
    <t>HAMBURG</t>
  </si>
  <si>
    <t>01 D03</t>
  </si>
  <si>
    <t>Lesjöfors Industrial Springs &amp; Pressings GmbH</t>
  </si>
  <si>
    <t>HAGEN</t>
  </si>
  <si>
    <t>01 E15</t>
  </si>
  <si>
    <t>LIANGGU VALVE GROUP CO., LTD.</t>
  </si>
  <si>
    <t>01 D86</t>
  </si>
  <si>
    <t>Linit Exports Private Limited</t>
  </si>
  <si>
    <t>01 D59</t>
  </si>
  <si>
    <t>Lishui Ouyi Valve Co., Ltd.</t>
  </si>
  <si>
    <t>LISHUI, ZHEJIANG</t>
  </si>
  <si>
    <t>03 A59</t>
  </si>
  <si>
    <t>LIXIN VALVE GROUP CO.,LTD</t>
  </si>
  <si>
    <t>03 E87</t>
  </si>
  <si>
    <t>M.C.M. S.p.A.</t>
  </si>
  <si>
    <t>ADRARA SAN MARTINO (BG)</t>
  </si>
  <si>
    <t>03 A38</t>
  </si>
  <si>
    <t>M/s Flowcode Automation Pvt. Ltd.</t>
  </si>
  <si>
    <t>03 G85</t>
  </si>
  <si>
    <t>M/s. SAN PRECISION ALLOYS SAN PRECISION ALLOYS PRIVATE LIMITED</t>
  </si>
  <si>
    <t>COIMBATORE</t>
  </si>
  <si>
    <t>03 H60</t>
  </si>
  <si>
    <t>Maher Limited</t>
  </si>
  <si>
    <t>S9 2RQ</t>
  </si>
  <si>
    <t>SHEFFIELD</t>
  </si>
  <si>
    <t>01 E72</t>
  </si>
  <si>
    <t>Mama Land Food Private Europe BV</t>
  </si>
  <si>
    <t>6811 AD</t>
  </si>
  <si>
    <t>ARNHEM</t>
  </si>
  <si>
    <t>01 E01</t>
  </si>
  <si>
    <t>Mankenberg GmbH</t>
  </si>
  <si>
    <t>LÜBECK</t>
  </si>
  <si>
    <t>01 C76</t>
  </si>
  <si>
    <t>Mars Valve Co., Ltd</t>
  </si>
  <si>
    <t>01 E90</t>
  </si>
  <si>
    <t>Maschinenfabrik Wagner GmbH &amp; Co. KG Plarad</t>
  </si>
  <si>
    <t>MUCH</t>
  </si>
  <si>
    <t>01 C65</t>
  </si>
  <si>
    <t>MASCOT Valves LLC</t>
  </si>
  <si>
    <t>03 D77</t>
  </si>
  <si>
    <t>MAVERICK VALVES BV</t>
  </si>
  <si>
    <t>5026SE</t>
  </si>
  <si>
    <t>TILBURG</t>
  </si>
  <si>
    <t>03 D35</t>
  </si>
  <si>
    <t>MECÁNICA PRISMA, S.L.</t>
  </si>
  <si>
    <t>MONTMELÓ (BARCELONA)</t>
  </si>
  <si>
    <t>03 A09</t>
  </si>
  <si>
    <t>Meccanica Rhodense srl</t>
  </si>
  <si>
    <t>RHO, MILANO</t>
  </si>
  <si>
    <t>01 C85</t>
  </si>
  <si>
    <t>METRUS GmbH</t>
  </si>
  <si>
    <t>ERKELENZ</t>
  </si>
  <si>
    <t>01 C03</t>
  </si>
  <si>
    <t>MIVAL S.r.l.</t>
  </si>
  <si>
    <t>01 B17</t>
  </si>
  <si>
    <t>MODU Valves A/S</t>
  </si>
  <si>
    <t>VEJLE</t>
  </si>
  <si>
    <t>01 E59</t>
  </si>
  <si>
    <t>Mollificio Legnanese S.p.A.</t>
  </si>
  <si>
    <t>LEGNANO (MI)</t>
  </si>
  <si>
    <t>01 D75</t>
  </si>
  <si>
    <t>Mollificio Renzo Scotti Srl</t>
  </si>
  <si>
    <t>LISSONE (MB)</t>
  </si>
  <si>
    <t>03 D34</t>
  </si>
  <si>
    <t>Moontown Limited</t>
  </si>
  <si>
    <t>NG17 7LE</t>
  </si>
  <si>
    <t>NOTTINGHAM</t>
  </si>
  <si>
    <t>03 B53</t>
  </si>
  <si>
    <t>MRC Global Inc.</t>
  </si>
  <si>
    <t>03 D72</t>
  </si>
  <si>
    <t>müller co-ax gmbh</t>
  </si>
  <si>
    <t>FORCHTENBERG</t>
  </si>
  <si>
    <t>03 C29</t>
  </si>
  <si>
    <t>müller quadax gmbh</t>
  </si>
  <si>
    <t>nass magnet GmbH</t>
  </si>
  <si>
    <t>HANNOVER</t>
  </si>
  <si>
    <t>03 G27</t>
  </si>
  <si>
    <t>NEWAY VALVE (SUZHOU) CO., LTD.</t>
  </si>
  <si>
    <t>SUZHOU NEW DISTRICT</t>
  </si>
  <si>
    <t>03 C45</t>
  </si>
  <si>
    <t>Newton Fluid Technology Co., Ltd.</t>
  </si>
  <si>
    <t>03 C78</t>
  </si>
  <si>
    <t>NieRuf GmbH</t>
  </si>
  <si>
    <t>BESIGHEIM</t>
  </si>
  <si>
    <t>01 B34</t>
  </si>
  <si>
    <t>Ningbo Hawks Auto Parts Co., Ltd</t>
  </si>
  <si>
    <t>NINGBO CITY, ZHEJIANG PROVINCE</t>
  </si>
  <si>
    <t>03 A93</t>
  </si>
  <si>
    <t>Nippon Gear Co., Ltd.</t>
  </si>
  <si>
    <t>105-0003</t>
  </si>
  <si>
    <t>03 C81</t>
  </si>
  <si>
    <t>Nippon Pillar Europe GmbH</t>
  </si>
  <si>
    <t>FELDKIRCHEN</t>
  </si>
  <si>
    <t>03 C65</t>
  </si>
  <si>
    <t>Noah Actuation Co., Ltd.</t>
  </si>
  <si>
    <t>INCHEON</t>
  </si>
  <si>
    <t>01 C22</t>
  </si>
  <si>
    <t>Norton Cast products Ltd.</t>
  </si>
  <si>
    <t>S9 5DL</t>
  </si>
  <si>
    <t>01 D81</t>
  </si>
  <si>
    <t>NOVA Hydromet Ltd.</t>
  </si>
  <si>
    <t>NOVAL Valves and Services GmbH</t>
  </si>
  <si>
    <t>GRÖNINGEN</t>
  </si>
  <si>
    <t>03 G81</t>
  </si>
  <si>
    <t>NSEN Valve Co., Ltd</t>
  </si>
  <si>
    <t>03 F54</t>
  </si>
  <si>
    <t>Nuova General Instruments SRL</t>
  </si>
  <si>
    <t>PIANELLO VAL TIDONE, PIACENZA</t>
  </si>
  <si>
    <t>01 A76</t>
  </si>
  <si>
    <t>Nutork Corp.</t>
  </si>
  <si>
    <t>03 J46</t>
  </si>
  <si>
    <t>OHL Gutermuth Industrial Valves GmbH</t>
  </si>
  <si>
    <t>01 C32</t>
  </si>
  <si>
    <t>OMAL S.p.A.</t>
  </si>
  <si>
    <t>RODENGO SAIANO (BS)</t>
  </si>
  <si>
    <t>OMC S.p.A.</t>
  </si>
  <si>
    <t>CASSINA DE PECCHI (MI)</t>
  </si>
  <si>
    <t>01 C75</t>
  </si>
  <si>
    <t>OMV-INDOIL d.o.o.</t>
  </si>
  <si>
    <t>G. STUPNIK, ZAGREB</t>
  </si>
  <si>
    <t>01 A59</t>
  </si>
  <si>
    <t>Orbinox S.A.</t>
  </si>
  <si>
    <t>ANOETA</t>
  </si>
  <si>
    <t>03 G39</t>
  </si>
  <si>
    <t>ORSON TECHNOCAST PVT LTD</t>
  </si>
  <si>
    <t>01 B41</t>
  </si>
  <si>
    <t>Ouming Valve Group Co., Ltd.</t>
  </si>
  <si>
    <t>01 E60</t>
  </si>
  <si>
    <t>Oviko Group Co. Ltd.</t>
  </si>
  <si>
    <t>03 D92</t>
  </si>
  <si>
    <t>Padtex Insulation SIA</t>
  </si>
  <si>
    <t>LV</t>
  </si>
  <si>
    <t>VALMIERA</t>
  </si>
  <si>
    <t>01 F35</t>
  </si>
  <si>
    <t>Pekos Valves, S.L.U.</t>
  </si>
  <si>
    <t>MONTMELO, BARCELONA</t>
  </si>
  <si>
    <t>03 C01</t>
  </si>
  <si>
    <t>Penglai Huande Steel Valve Co., Ltd.</t>
  </si>
  <si>
    <t>PENGLAI, SHANDONG</t>
  </si>
  <si>
    <t>01 D89</t>
  </si>
  <si>
    <t>Penta Srl</t>
  </si>
  <si>
    <t>MAZZANO (BS)</t>
  </si>
  <si>
    <t>03 D39</t>
  </si>
  <si>
    <t>PHOENIX Armaturenwerke GmbH</t>
  </si>
  <si>
    <t>VOLKMARSEN</t>
  </si>
  <si>
    <t>03 C77</t>
  </si>
  <si>
    <t>Plasma Alloys Pvt Ltd</t>
  </si>
  <si>
    <t>03 D91</t>
  </si>
  <si>
    <t>PLASTICA ALFA SPA</t>
  </si>
  <si>
    <t>CALTAGIRONE (CT)</t>
  </si>
  <si>
    <t>01 D66</t>
  </si>
  <si>
    <t>Pleiger Maschinenbau GmbH &amp; Co. KG</t>
  </si>
  <si>
    <t>WITTEN</t>
  </si>
  <si>
    <t>01 A18</t>
  </si>
  <si>
    <t>PNEUMASTER CONTROLS PTE LTD.</t>
  </si>
  <si>
    <t>SGP</t>
  </si>
  <si>
    <t>SINGAPORE</t>
  </si>
  <si>
    <t>03 B77</t>
  </si>
  <si>
    <t>Pnosan Co. TEK.MALZ.SAN.VE TIC LTD.STI.</t>
  </si>
  <si>
    <t>CORLU</t>
  </si>
  <si>
    <t>01 C20</t>
  </si>
  <si>
    <t>Polix Export d.o.o</t>
  </si>
  <si>
    <t>ZIRI</t>
  </si>
  <si>
    <t>01 A41</t>
  </si>
  <si>
    <t>Power-Genex Ltd.</t>
  </si>
  <si>
    <t>01 F09</t>
  </si>
  <si>
    <t>Power Valves BV</t>
  </si>
  <si>
    <t>2235 MH</t>
  </si>
  <si>
    <t>RIJNSBURG</t>
  </si>
  <si>
    <t>03 F19</t>
  </si>
  <si>
    <t>POWERFLOW CONTROL CO., LTD</t>
  </si>
  <si>
    <t>HANGZHOU, ZHEJIANG</t>
  </si>
  <si>
    <t>03 H13</t>
  </si>
  <si>
    <t>Primoflo Pte. Ltd.</t>
  </si>
  <si>
    <t>Pro Control GmbH</t>
  </si>
  <si>
    <t>LANDAU</t>
  </si>
  <si>
    <t>01 B58</t>
  </si>
  <si>
    <t>Process Control Equipment Limited</t>
  </si>
  <si>
    <t>TS17 9LT</t>
  </si>
  <si>
    <t>STOCKTON-ON-TEES</t>
  </si>
  <si>
    <t>03 B73</t>
  </si>
  <si>
    <t>ProPack Dichtungen und Packungen AG</t>
  </si>
  <si>
    <t>SAUERLACH</t>
  </si>
  <si>
    <t>03 B54</t>
  </si>
  <si>
    <t>ProtACT GmbH</t>
  </si>
  <si>
    <t>DERNBACH</t>
  </si>
  <si>
    <t>01 A48</t>
  </si>
  <si>
    <t>PS Automation GmbH</t>
  </si>
  <si>
    <t>BAD DÜRKHEIM</t>
  </si>
  <si>
    <t>01 E09</t>
  </si>
  <si>
    <t>Q-TORK AUTOMATION PVT. LTD.</t>
  </si>
  <si>
    <t>03 G55</t>
  </si>
  <si>
    <t>Qingdao Elite Machinery Manufacture Co., Ltd.</t>
  </si>
  <si>
    <t>QINGDAO</t>
  </si>
  <si>
    <t>01 A49</t>
  </si>
  <si>
    <t>Qingdao I-Flow Co.,Ltd.</t>
  </si>
  <si>
    <t>QINGDAO, SHANDONG</t>
  </si>
  <si>
    <t>03 A32</t>
  </si>
  <si>
    <t>Qiubao Valve Co., Ltd.</t>
  </si>
  <si>
    <t>01 B21</t>
  </si>
  <si>
    <t>Rainbow Technocast (Partnership Firm)</t>
  </si>
  <si>
    <t>01 C18</t>
  </si>
  <si>
    <t>Rajan Techno Cast Pvt. Ltd.</t>
  </si>
  <si>
    <t>03 A16</t>
  </si>
  <si>
    <t>RAYS FLOW CONTROL Inc.</t>
  </si>
  <si>
    <t>HOUSTON</t>
  </si>
  <si>
    <t>01 B80</t>
  </si>
  <si>
    <t>Rhino Valves Worldwide Valvulas Worcester de Mexico S.A. de C.V.</t>
  </si>
  <si>
    <t>MEX</t>
  </si>
  <si>
    <t>MEXICO CITY</t>
  </si>
  <si>
    <t>03 F14</t>
  </si>
  <si>
    <t>Richter Chemie-Technik GmbH</t>
  </si>
  <si>
    <t>KEMPEN</t>
  </si>
  <si>
    <t>03 F81</t>
  </si>
  <si>
    <t>Ropo GmbH</t>
  </si>
  <si>
    <t>01 A72</t>
  </si>
  <si>
    <t>ROSS Pneumatrol Limited</t>
  </si>
  <si>
    <t>BB5 4WZ</t>
  </si>
  <si>
    <t>OSWALDTWISTLE, LANCASHIRE</t>
  </si>
  <si>
    <t>03 D10</t>
  </si>
  <si>
    <t>Rotech GmbH</t>
  </si>
  <si>
    <t>01 A65</t>
  </si>
  <si>
    <t>Rotex Manufacturers and Engineers Pvt Ltd</t>
  </si>
  <si>
    <t>NAVI MUMBAI</t>
  </si>
  <si>
    <t>01 C49</t>
  </si>
  <si>
    <t>Rotor Clip s.r.o.</t>
  </si>
  <si>
    <t>411 18</t>
  </si>
  <si>
    <t>BUDYNE NAD OHRÍ</t>
  </si>
  <si>
    <t>01 D18</t>
  </si>
  <si>
    <t>Rotork PLC</t>
  </si>
  <si>
    <t>BA1 3JQ</t>
  </si>
  <si>
    <t>BATH, SOMERSET</t>
  </si>
  <si>
    <t>01 C33</t>
  </si>
  <si>
    <t>RSG Regel- und Steuergeräte GmbH</t>
  </si>
  <si>
    <t>INGELFINGEN</t>
  </si>
  <si>
    <t>03 D86</t>
  </si>
  <si>
    <t>Samshin Limited</t>
  </si>
  <si>
    <t>CHEONAN-SI</t>
  </si>
  <si>
    <t>01 F29</t>
  </si>
  <si>
    <t>SAPAG VALVES</t>
  </si>
  <si>
    <t>HAM</t>
  </si>
  <si>
    <t>03 C79</t>
  </si>
  <si>
    <t>Sarasin Actor SAS</t>
  </si>
  <si>
    <t>SEQUEDIN</t>
  </si>
  <si>
    <t>01 E53</t>
  </si>
  <si>
    <t>Schiebel Antriebstechnik GmbH</t>
  </si>
  <si>
    <t>A</t>
  </si>
  <si>
    <t>VIENNA</t>
  </si>
  <si>
    <t>03 F09</t>
  </si>
  <si>
    <t>Score Group Limited</t>
  </si>
  <si>
    <t>AB42 0YX</t>
  </si>
  <si>
    <t>PETERHEAD</t>
  </si>
  <si>
    <t>01 E48</t>
  </si>
  <si>
    <t>maybe</t>
  </si>
  <si>
    <t>SEALCORE S.r.l.</t>
  </si>
  <si>
    <t>CASTELLI CALEPIO (BG)</t>
  </si>
  <si>
    <t>03 C64</t>
  </si>
  <si>
    <t>Senior Aerospace Bird Bellows Ltd.</t>
  </si>
  <si>
    <t>CW12 4UQ</t>
  </si>
  <si>
    <t>CHESHIRE</t>
  </si>
  <si>
    <t>03 E44</t>
  </si>
  <si>
    <t>Shandong Hua'an Machinery Co. Ltd.</t>
  </si>
  <si>
    <t>QINGDAO, SHANDONG PROVINCE</t>
  </si>
  <si>
    <t>03 H19</t>
  </si>
  <si>
    <t>Shanghai Zhongzhou Special Alloy Materials Co., Ltd.</t>
  </si>
  <si>
    <t>03 G21</t>
  </si>
  <si>
    <t>SHANGYU GROUP CO., LTD.</t>
  </si>
  <si>
    <t>03 H84-2</t>
  </si>
  <si>
    <t>Shanxi Zhongli Flange Co., Ltd</t>
  </si>
  <si>
    <t>XINZHOU, SHANXI</t>
  </si>
  <si>
    <t>SHILPAN STEELCAST PVT. LTD</t>
  </si>
  <si>
    <t>03 G17</t>
  </si>
  <si>
    <t>SHREE HANS ALLOYS LIMITED</t>
  </si>
  <si>
    <t>03 A27</t>
  </si>
  <si>
    <t>Shri Balaji Valve Components Limited</t>
  </si>
  <si>
    <t>03 B95</t>
  </si>
  <si>
    <t>SHRINE STEELMELT PVT. LTD.</t>
  </si>
  <si>
    <t>03 C40</t>
  </si>
  <si>
    <t>Siekmann Econosto GmbH</t>
  </si>
  <si>
    <t>01 C58</t>
  </si>
  <si>
    <t>Siemens AG</t>
  </si>
  <si>
    <t>KARLSRUHE</t>
  </si>
  <si>
    <t>03 D45</t>
  </si>
  <si>
    <t>Sigeval S.A.</t>
  </si>
  <si>
    <t>TORREJON DE ARDOZ (MADRID)</t>
  </si>
  <si>
    <t>03 E52</t>
  </si>
  <si>
    <t>Sindhwai Hydraulic pvt ltd</t>
  </si>
  <si>
    <t>AHMEDABAD</t>
  </si>
  <si>
    <t>03 H89</t>
  </si>
  <si>
    <t>SISTAS CELIK DÖVME SAN.TIC.A.S.</t>
  </si>
  <si>
    <t>IZMİR</t>
  </si>
  <si>
    <t>01 C90</t>
  </si>
  <si>
    <t>03 D74</t>
  </si>
  <si>
    <t>Smalley Europe SASU</t>
  </si>
  <si>
    <t>COIGNIÈRES</t>
  </si>
  <si>
    <t>01 B42</t>
  </si>
  <si>
    <t>SMS Tork Sanayi Malzemeleri Üretim Ve Satisi A.S.</t>
  </si>
  <si>
    <t>03 B66</t>
  </si>
  <si>
    <t>SOMAS GmbH</t>
  </si>
  <si>
    <t>KAARST</t>
  </si>
  <si>
    <t>03 A74</t>
  </si>
  <si>
    <t>Sonderschrauben Güldner GmbH &amp; Co. KG</t>
  </si>
  <si>
    <t>NIEDERSTETTEN</t>
  </si>
  <si>
    <t>01 B65</t>
  </si>
  <si>
    <t>SPACX ACTUATORS &amp; CONTROLS BV</t>
  </si>
  <si>
    <t>5831 AS</t>
  </si>
  <si>
    <t>BOXMEER</t>
  </si>
  <si>
    <t>03 A17</t>
  </si>
  <si>
    <t>SPETECH Sp. z.o.o.</t>
  </si>
  <si>
    <t>PL</t>
  </si>
  <si>
    <t>43-382</t>
  </si>
  <si>
    <t>BIELSKO-BIALA</t>
  </si>
  <si>
    <t>03 A63</t>
  </si>
  <si>
    <t>Spiroflex d.o.o.</t>
  </si>
  <si>
    <t>RUSCICA</t>
  </si>
  <si>
    <t>01 A17</t>
  </si>
  <si>
    <t>Springmasters Ltd</t>
  </si>
  <si>
    <t>B98 8LF</t>
  </si>
  <si>
    <t>REDDITCH, WORCESTERSHIRE</t>
  </si>
  <si>
    <t>01 D67</t>
  </si>
  <si>
    <t>Stahl-Armaturen PERSTA GmbH</t>
  </si>
  <si>
    <t>WARSTEIN</t>
  </si>
  <si>
    <t>01 C59</t>
  </si>
  <si>
    <t>STERLING TECHNOCAST LLP</t>
  </si>
  <si>
    <t>03 A75</t>
  </si>
  <si>
    <t>Sud Robinetterie Industrie SAS</t>
  </si>
  <si>
    <t>MARSEILLE</t>
  </si>
  <si>
    <t>03 F35</t>
  </si>
  <si>
    <t>SUFA TECHNOLOGY INDUSTRY CO. LTD., CNNC</t>
  </si>
  <si>
    <t>03 H43</t>
  </si>
  <si>
    <t>SUMANGAL CASTINGS PRIVATE LIMITED</t>
  </si>
  <si>
    <t>03 B69</t>
  </si>
  <si>
    <t>Sun Yeh Electrical Ind. Co., Ltd</t>
  </si>
  <si>
    <t>SUNGO VALVES GROUP CO.,LTD.</t>
  </si>
  <si>
    <t>03 H84-7</t>
  </si>
  <si>
    <t>Super Quali Cast (INDIA) Pvt. Ltd.</t>
  </si>
  <si>
    <t>03 B83</t>
  </si>
  <si>
    <t>SUZHOU EJ INDUSTRY CO., LTD.</t>
  </si>
  <si>
    <t>01 A38</t>
  </si>
  <si>
    <t>SUZHOU SIP STARD VALVE CO.,LTD.</t>
  </si>
  <si>
    <t>03 A44</t>
  </si>
  <si>
    <t>SUZHOU TCX FLOW CONTROL EQUIPMENT CO.,LTD</t>
  </si>
  <si>
    <t>01 E89</t>
  </si>
  <si>
    <t>SUZHOU VIZA VALVE Co., Ltd.</t>
  </si>
  <si>
    <t>03 D89</t>
  </si>
  <si>
    <t>Swedenborg Ingenjörsfirma AB</t>
  </si>
  <si>
    <t>MÖLNLYCKE</t>
  </si>
  <si>
    <t>03 B43</t>
  </si>
  <si>
    <t>Syveco S.A.</t>
  </si>
  <si>
    <t>SAINT QUENTIN FALLAVIER</t>
  </si>
  <si>
    <t>01 C34</t>
  </si>
  <si>
    <t>T.I.S. Service S.p.A.</t>
  </si>
  <si>
    <t>BOLGARE (BG)</t>
  </si>
  <si>
    <t>03 D54</t>
  </si>
  <si>
    <t>TA Roloff GmbH</t>
  </si>
  <si>
    <t>03 E83</t>
  </si>
  <si>
    <t>Taizhou JuHang Automation Equipment Technology Co., Ltd</t>
  </si>
  <si>
    <t>TAIZHOU CITY, ZHEJIANG PROVINCE</t>
  </si>
  <si>
    <t>03 H54</t>
  </si>
  <si>
    <t>Taylor Valve Technology</t>
  </si>
  <si>
    <t>OKLAHOMA CITY, OK</t>
  </si>
  <si>
    <t>03 A36</t>
  </si>
  <si>
    <t>TECOFI</t>
  </si>
  <si>
    <t>CORBAS</t>
  </si>
  <si>
    <t>03 G59</t>
  </si>
  <si>
    <t>Tefulong (Shanghai) Technologies Co.,Ltd</t>
  </si>
  <si>
    <t>03 A19</t>
  </si>
  <si>
    <t>TEHONG VALVE GROUP CO., LTD.</t>
  </si>
  <si>
    <t>03 G67</t>
  </si>
  <si>
    <t>TEJI VALVE GROUP CO., LTD.</t>
  </si>
  <si>
    <t>03 H84-6</t>
  </si>
  <si>
    <t>Termovent SC LLC</t>
  </si>
  <si>
    <t>XS</t>
  </si>
  <si>
    <t>TEMERIN</t>
  </si>
  <si>
    <t>03 B18</t>
  </si>
  <si>
    <t>Terofox Valves Integrated Corp.</t>
  </si>
  <si>
    <t>03 H78</t>
  </si>
  <si>
    <t>TFC Ltd. Bochum Technisches Zentrum</t>
  </si>
  <si>
    <t>Thermo Fisher Scientific GmbH</t>
  </si>
  <si>
    <t>MÜNCHEN</t>
  </si>
  <si>
    <t>03 D13</t>
  </si>
  <si>
    <t>THERMOMESS S.r.l.</t>
  </si>
  <si>
    <t>ROBECCHETTO CON INDUNO (MI)</t>
  </si>
  <si>
    <t>03 C38</t>
  </si>
  <si>
    <t>Tiangong Valve Group Co., Ltd</t>
  </si>
  <si>
    <t>03 G18</t>
  </si>
  <si>
    <t>Tianjin Galaxy Valve Co., Ltd</t>
  </si>
  <si>
    <t>TIANJIN</t>
  </si>
  <si>
    <t>03 G01</t>
  </si>
  <si>
    <t>TIANJIN HONOR VALVE CO.LTD</t>
  </si>
  <si>
    <t>03 H07</t>
  </si>
  <si>
    <t>TIANJIN JIAXIANG TAIRUI VALVE CO., LTD.</t>
  </si>
  <si>
    <t>03 G38</t>
  </si>
  <si>
    <t>Tianjin Ots Valve Manufacturing Co. Ltd.</t>
  </si>
  <si>
    <t>01 F79</t>
  </si>
  <si>
    <t>Tianjin T.Crystal.Actuator Co.,Ltd</t>
  </si>
  <si>
    <t>01 F68</t>
  </si>
  <si>
    <t>Tianzheng Valve Co., Ltd</t>
  </si>
  <si>
    <t>03 H84-10</t>
  </si>
  <si>
    <t>TISSIN Co. Ltd.</t>
  </si>
  <si>
    <t>BUCHEON</t>
  </si>
  <si>
    <t>01 B60</t>
  </si>
  <si>
    <t>TMG Korea Corp. Ltd.</t>
  </si>
  <si>
    <t>BUSAN</t>
  </si>
  <si>
    <t>03 G82</t>
  </si>
  <si>
    <t>Triumph Controls - Germany GmbH</t>
  </si>
  <si>
    <t>HEILIGENHAUS</t>
  </si>
  <si>
    <t>03 D84</t>
  </si>
  <si>
    <t>TS Verbindungsteile GmbH</t>
  </si>
  <si>
    <t>BITBURG</t>
  </si>
  <si>
    <t>03 E40</t>
  </si>
  <si>
    <t>TUNING Fluid Solutions SARL</t>
  </si>
  <si>
    <t>ROGNAC</t>
  </si>
  <si>
    <t>03 D09</t>
  </si>
  <si>
    <t>Turkish Pump and Valve Manufacturers' Association</t>
  </si>
  <si>
    <t>ANKARA</t>
  </si>
  <si>
    <t>01 A21</t>
  </si>
  <si>
    <t>TVN Boru ve Vana San. Tic. Ltd. Şti.</t>
  </si>
  <si>
    <t>03 G35</t>
  </si>
  <si>
    <t>Tycon Alloy Industries (Hong Kong) Co., Ltd.</t>
  </si>
  <si>
    <t>KWAI CHUNG, N.T., HONG KONG</t>
  </si>
  <si>
    <t>03 A89</t>
  </si>
  <si>
    <t>Uflow Automation (Partnership)</t>
  </si>
  <si>
    <t>SHAPER, VERAVAL, DIST. RAJKOT</t>
  </si>
  <si>
    <t>03 A26</t>
  </si>
  <si>
    <t>Ulma Forja S. Coop. Ulma Forged Solutions</t>
  </si>
  <si>
    <t>ONATI</t>
  </si>
  <si>
    <t>01 B52</t>
  </si>
  <si>
    <t>Union Tech Co., LLC</t>
  </si>
  <si>
    <t>03 B19</t>
  </si>
  <si>
    <t>UNOX VALF SANAYI VE TICARET A.S.</t>
  </si>
  <si>
    <t>GEBZE/KOCAELI</t>
  </si>
  <si>
    <t>03 B57</t>
  </si>
  <si>
    <t>UNP POLYVALVES INDIA PVT. LTD.</t>
  </si>
  <si>
    <t>VADODARA</t>
  </si>
  <si>
    <t>03 A18</t>
  </si>
  <si>
    <t>V-Tork Controls (Partnership)</t>
  </si>
  <si>
    <t>COIMBATORE, TAMILNADU</t>
  </si>
  <si>
    <t>03 H58</t>
  </si>
  <si>
    <t>Valbia S.r.l.</t>
  </si>
  <si>
    <t>LUMEZZANE (BS)</t>
  </si>
  <si>
    <t>Valpres S.r.l.</t>
  </si>
  <si>
    <t>MARCHENO (BS)</t>
  </si>
  <si>
    <t>Valtec Industrial Co., Ltd.</t>
  </si>
  <si>
    <t>03 B87</t>
  </si>
  <si>
    <t>Valtek Corporation Pvt Limited</t>
  </si>
  <si>
    <t>DHARWAD</t>
  </si>
  <si>
    <t>03 H74</t>
  </si>
  <si>
    <t>VALUE VALVES CO., LTD.</t>
  </si>
  <si>
    <t>NEW TAIPEI</t>
  </si>
  <si>
    <t>03 A40</t>
  </si>
  <si>
    <t>Valves &amp; Motion Control Specialism BV</t>
  </si>
  <si>
    <t>2984 AN</t>
  </si>
  <si>
    <t>RIDDERKERK</t>
  </si>
  <si>
    <t>03 B28</t>
  </si>
  <si>
    <t>VALVESEAL, S.L.</t>
  </si>
  <si>
    <t>SANT QUIRZE DEL VALLÉS (BARCELONA)</t>
  </si>
  <si>
    <t>03 C34</t>
  </si>
  <si>
    <t>Valvulas VS, S.L.</t>
  </si>
  <si>
    <t>MUSKIZ</t>
  </si>
  <si>
    <t>Valvulas Zubi S.L.</t>
  </si>
  <si>
    <t>IRUN</t>
  </si>
  <si>
    <t>03 F46</t>
  </si>
  <si>
    <t>VANATES VANA VE TEKNIK TESİIAT MALZEMELE Rİ LTD STI</t>
  </si>
  <si>
    <t>01 A60</t>
  </si>
  <si>
    <t>VARSHA TECHNOLOGIES Partnership</t>
  </si>
  <si>
    <t>TAMILNADU</t>
  </si>
  <si>
    <t>01 A14</t>
  </si>
  <si>
    <t>Vatac Valves Corp</t>
  </si>
  <si>
    <t>03 G15</t>
  </si>
  <si>
    <t>VDMA Verband Deutscher Maschinen- und Anlagenbau e.V.</t>
  </si>
  <si>
    <t>FRANKFURT AM MAIN</t>
  </si>
  <si>
    <t>01 C68</t>
  </si>
  <si>
    <t>Velan Inc.</t>
  </si>
  <si>
    <t>H4T 1G2</t>
  </si>
  <si>
    <t>MONTREAL, QC</t>
  </si>
  <si>
    <t>03 G51</t>
  </si>
  <si>
    <t>VENTIL Test Equipment B.V.</t>
  </si>
  <si>
    <t>2288 GE</t>
  </si>
  <si>
    <t>RIJSWIJK</t>
  </si>
  <si>
    <t>03 E53</t>
  </si>
  <si>
    <t>Vexve Armatury Group OY</t>
  </si>
  <si>
    <t>FIN</t>
  </si>
  <si>
    <t>SASTAMALA</t>
  </si>
  <si>
    <t>03 E27</t>
  </si>
  <si>
    <t>VICTORY VALVE CO., LTD</t>
  </si>
  <si>
    <t>01 A52</t>
  </si>
  <si>
    <t>Vinco Valvulas</t>
  </si>
  <si>
    <t>4760-841</t>
  </si>
  <si>
    <t>VILARINHO DAS CAMBAS</t>
  </si>
  <si>
    <t>03 C56</t>
  </si>
  <si>
    <t>Vis Vana San. Ith. Ihr. Tic. Ltd. Sti.</t>
  </si>
  <si>
    <t>03 F39</t>
  </si>
  <si>
    <t>Von Rohr Armaturen AG</t>
  </si>
  <si>
    <t>MUTTENZ</t>
  </si>
  <si>
    <t>Vulkan-Verlag GmbH Marketing/Vertrieb</t>
  </si>
  <si>
    <t>03 C30</t>
  </si>
  <si>
    <t>VYC Industrial, S.A.U.</t>
  </si>
  <si>
    <t>TERRASSA (BARCELONA)</t>
  </si>
  <si>
    <t>03 D51</t>
  </si>
  <si>
    <t>W. Baelz &amp; Sohn GmbH &amp; Co.</t>
  </si>
  <si>
    <t>HEILBRONN</t>
  </si>
  <si>
    <t>01 B19</t>
  </si>
  <si>
    <t>Waldemar Pruss Armaturenfabrik GmbH</t>
  </si>
  <si>
    <t>03 A72</t>
  </si>
  <si>
    <t>Walworth Industrial de Valvulas, S.A. DE C.V.</t>
  </si>
  <si>
    <t>TEPOZOTLAN</t>
  </si>
  <si>
    <t>03 G77</t>
  </si>
  <si>
    <t>WEH GmbH Verbindungstechnik</t>
  </si>
  <si>
    <t>ILLERTISSEN</t>
  </si>
  <si>
    <t>01 A19</t>
  </si>
  <si>
    <t>Weifang Guanyu Machinery Manufacture Co., Ltd.</t>
  </si>
  <si>
    <t>WEIFANG</t>
  </si>
  <si>
    <t>01 F75</t>
  </si>
  <si>
    <t>WENBAO VALVE CO.,LTD</t>
  </si>
  <si>
    <t>03 A83</t>
  </si>
  <si>
    <t>WENZHOU ARTECH MACHINERY TECHNOLOGY CO.,LTD</t>
  </si>
  <si>
    <t>03 H37</t>
  </si>
  <si>
    <t>WENZHOU CHENQIU VALVE CO.,LTD.</t>
  </si>
  <si>
    <t>03 H70</t>
  </si>
  <si>
    <t>Wenzhou Galilee Valve Manufacturing Co., Ltd.</t>
  </si>
  <si>
    <t>03 B75</t>
  </si>
  <si>
    <t>Wenzhou Growth Fluid Equipment Co., LTD</t>
  </si>
  <si>
    <t>03 C39</t>
  </si>
  <si>
    <t>WENZHOU HELI AUTOMATIC METER CO.,LTD</t>
  </si>
  <si>
    <t>03 E19</t>
  </si>
  <si>
    <t>WENZHOU RUIQIU VALVE CO., LTD.</t>
  </si>
  <si>
    <t>03 G02</t>
  </si>
  <si>
    <t>WENZHOU RUNXIN MANUFACTURING MACHINE CO . ,LTD</t>
  </si>
  <si>
    <t>WIKA Alexander Wiegand SE &amp; Co. KG</t>
  </si>
  <si>
    <t>KLINGENBERG A. MAIN</t>
  </si>
  <si>
    <t>01 C50</t>
  </si>
  <si>
    <t>WIN-VIET PRECISION MACHINERY CO., LTD.</t>
  </si>
  <si>
    <t>VN</t>
  </si>
  <si>
    <t>TIEN GIANG</t>
  </si>
  <si>
    <t>01 F55</t>
  </si>
  <si>
    <t>Witzenmann GmbH</t>
  </si>
  <si>
    <t>PFORZHEIM</t>
  </si>
  <si>
    <t>01 B22</t>
  </si>
  <si>
    <t>WUHAN LINMEI HEAD PLATE CO.,LTD</t>
  </si>
  <si>
    <t>WUHAN CITY, HUBEI PROVINCE</t>
  </si>
  <si>
    <t>03 A81</t>
  </si>
  <si>
    <t>WUHU JINMAO LIQUID SCIENCE &amp; TECHNOLOGY CO.,LTD</t>
  </si>
  <si>
    <t>CHANGSHA, ANHUI</t>
  </si>
  <si>
    <t>03 H39</t>
  </si>
  <si>
    <t>Wuxi CTENO Actuators Manufacture Co., Ltd</t>
  </si>
  <si>
    <t>YIXING, WUXI</t>
  </si>
  <si>
    <t>03 A60</t>
  </si>
  <si>
    <t>Wuxi Force &amp; Torque Technology Co., Ltd.</t>
  </si>
  <si>
    <t>WUXI YUJIN SPRING TECHNOLOGY CO., Ltd</t>
  </si>
  <si>
    <t>WUXI</t>
  </si>
  <si>
    <t>03 H86</t>
  </si>
  <si>
    <t>XINTAI VALVE GROUP CO., LTD.</t>
  </si>
  <si>
    <t>03 H04</t>
  </si>
  <si>
    <t>XUANDA INDUSTRIAL GROUP CO.,LTD</t>
  </si>
  <si>
    <t>03 H84-5</t>
  </si>
  <si>
    <t>Yakacik Valf San. ve Tic. A.S.</t>
  </si>
  <si>
    <t>TUZLA - ISTANBUL</t>
  </si>
  <si>
    <t>01 E47</t>
  </si>
  <si>
    <t>Yi Ming Machinery (FTI Valves) Ind. Co.</t>
  </si>
  <si>
    <t>TAIPEI</t>
  </si>
  <si>
    <t>03 H55</t>
  </si>
  <si>
    <t>Yongjia County State Owned Assets Investment Group Co., Ltd.</t>
  </si>
  <si>
    <t>03 H92</t>
  </si>
  <si>
    <t>YONGJIA FORMEN VALVE CO., LTD.</t>
  </si>
  <si>
    <t>03 H88</t>
  </si>
  <si>
    <t>Yongjia South Trading Co. Ltd.</t>
  </si>
  <si>
    <t>WENZHOU, ZHEJAING</t>
  </si>
  <si>
    <t>03 E20</t>
  </si>
  <si>
    <t>Yongjia Tong Ball Valve Co., Ldt.</t>
  </si>
  <si>
    <t>01 E86</t>
  </si>
  <si>
    <t>YONGKANG YONLIN INDUSTRY&amp;TRADE CO., LTD</t>
  </si>
  <si>
    <t>YONGKANG, ZHEJIANG</t>
  </si>
  <si>
    <t>03 J66</t>
  </si>
  <si>
    <t>YPS LangleyValves Ltd.</t>
  </si>
  <si>
    <t>LS28 6QW</t>
  </si>
  <si>
    <t>LEEDS, WEST YORKSHIRE</t>
  </si>
  <si>
    <t>01 D31-2</t>
  </si>
  <si>
    <t>YUANDA VALVE GROUP CO., LTD.</t>
  </si>
  <si>
    <t>XINGTAI, HEBEI</t>
  </si>
  <si>
    <t>03 A43</t>
  </si>
  <si>
    <t>YVI Inc.</t>
  </si>
  <si>
    <t>THE WOODLANDS, TX</t>
  </si>
  <si>
    <t>03 G57</t>
  </si>
  <si>
    <t>Zaklady Automatyki POLNA S.A.</t>
  </si>
  <si>
    <t>37-700</t>
  </si>
  <si>
    <t>PRZEMYSL</t>
  </si>
  <si>
    <t>01 A73</t>
  </si>
  <si>
    <t>Zetkama Sp. z o. o.</t>
  </si>
  <si>
    <t>57-410</t>
  </si>
  <si>
    <t>SCINAWKA SREDNIA</t>
  </si>
  <si>
    <t>03 D27</t>
  </si>
  <si>
    <t>ZHEJIANG ALPHA VALVE CO.,LTD</t>
  </si>
  <si>
    <t>03 H84-4</t>
  </si>
  <si>
    <t>Zhejiang Aoxiang Auto-Control Technology CO.,Ltd.</t>
  </si>
  <si>
    <t>RUI'AN, ZHEJIANG</t>
  </si>
  <si>
    <t>Zhejiang Bangye Automation Technology Co., Ltd</t>
  </si>
  <si>
    <t>PINGHU CITY, ZHEJIANG PROVINCE</t>
  </si>
  <si>
    <t>03 A25</t>
  </si>
  <si>
    <t>ZHEJIANG BOHO VALVE MACHINERY CO.,LTD</t>
  </si>
  <si>
    <t>03 G26</t>
  </si>
  <si>
    <t>ZHEJIANG BOTELI TECHNOLOGY CO.,LTD.</t>
  </si>
  <si>
    <t>03 A86</t>
  </si>
  <si>
    <t>Zhejiang Boutique Valve Co., Ltd.</t>
  </si>
  <si>
    <t>03 A35</t>
  </si>
  <si>
    <t>ZHEJIANG CHENGGAO VALVE CO.,LTD</t>
  </si>
  <si>
    <t>ZheJiang DinKong Intelligent Equipment CO.LTD</t>
  </si>
  <si>
    <t>RUIAN, ZHEJIANG</t>
  </si>
  <si>
    <t>03 G12</t>
  </si>
  <si>
    <t>ZHEJIANG DOXI VALVE CO.,LTD</t>
  </si>
  <si>
    <t>03 H90</t>
  </si>
  <si>
    <t>ZHEJIANG GUANZHENG VALVE CO.,LTD</t>
  </si>
  <si>
    <t>03 C73</t>
  </si>
  <si>
    <t>Zhejiang Haosheng Valve Co.,Ltd.</t>
  </si>
  <si>
    <t>ZHEJIANG HENGTONG VALVE CO., LTD.</t>
  </si>
  <si>
    <t>03 H84-9</t>
  </si>
  <si>
    <t>Zhejiang Jingjia valve Co.,Ltd.</t>
  </si>
  <si>
    <t>03 H84-8</t>
  </si>
  <si>
    <t>Zhejiang KGSY Intelligent Technology Co. Ltd.</t>
  </si>
  <si>
    <t>01 D85</t>
  </si>
  <si>
    <t>ZHEJIANG LEADTEK FLUID TECHNOLOGY Co., Ltd.</t>
  </si>
  <si>
    <t>QUZHOU CITY, ZHEJIANG</t>
  </si>
  <si>
    <t>03 D16</t>
  </si>
  <si>
    <t>ZHEJIANG LENOR FLOW CONTROL TECHNOLOGY CO.,LTD</t>
  </si>
  <si>
    <t>RUIAN CITY, ZHEJIANG</t>
  </si>
  <si>
    <t>03 F16</t>
  </si>
  <si>
    <t>Zhejiang Lianda Forging Co., Ltd.</t>
  </si>
  <si>
    <t>WENZHOU, ZHENGJIANG PROVINCE</t>
  </si>
  <si>
    <t>03 J42</t>
  </si>
  <si>
    <t>ZHEJIANG PNEUPID TECHNOLOGY CO.,LTD</t>
  </si>
  <si>
    <t>NINGBO, ZHEJIANG</t>
  </si>
  <si>
    <t>03 H59</t>
  </si>
  <si>
    <t>ZHEJIANG SANHE SPRING CO., LTD</t>
  </si>
  <si>
    <t>03 H84-3</t>
  </si>
  <si>
    <t>ZHEJIANG SHENGLE VALVE CO.,LTD</t>
  </si>
  <si>
    <t>Zhejiang Theoborn Auto-control Valves Co.,LTD</t>
  </si>
  <si>
    <t>03 H73</t>
  </si>
  <si>
    <t>ZHEJIANG XBURS MEASUREMENT &amp; CONTROL TECHNOLOGY CO.,LTD.</t>
  </si>
  <si>
    <t>03 A71</t>
  </si>
  <si>
    <t>Zhejiang Xiongtai Valve Manufacturing Co., Ltd.</t>
  </si>
  <si>
    <t>01 C86</t>
  </si>
  <si>
    <t>ZHEJIANG XUANDONG VALVE CO., LTD.</t>
  </si>
  <si>
    <t>03 G08</t>
  </si>
  <si>
    <t>Zhejiang Yongsheng Technology Co., Ltd</t>
  </si>
  <si>
    <t>Zhejiang Yuanli Valve Technology Co.,Ltd</t>
  </si>
  <si>
    <t>03 J78</t>
  </si>
  <si>
    <t>ZHEJIANG YUFENG MACHINERY CO.,LTD</t>
  </si>
  <si>
    <t>WENZHOU,ZHEJIANG</t>
  </si>
  <si>
    <t>Zhengzhou City ZD Valve Co., Ltd.</t>
  </si>
  <si>
    <t>ZHENGZHOU, HENAN</t>
  </si>
  <si>
    <t>ZIXING HUAGANG INVESTEMENT CASTING CO., Ltd.</t>
  </si>
  <si>
    <t>HUNAN</t>
  </si>
  <si>
    <t>03 H77</t>
  </si>
  <si>
    <t>Zuercher Technik AG</t>
  </si>
  <si>
    <t>SISSACH</t>
  </si>
  <si>
    <t>01 B81</t>
  </si>
  <si>
    <t>Zwick Armaturen GmbH</t>
  </si>
  <si>
    <t>ENNEPETAL</t>
  </si>
  <si>
    <t>03 A92</t>
  </si>
  <si>
    <t>Episode</t>
  </si>
  <si>
    <t>Title</t>
  </si>
  <si>
    <t>PDF</t>
  </si>
  <si>
    <t>Content</t>
  </si>
  <si>
    <t>Questions to ask</t>
  </si>
  <si>
    <t>Intro</t>
  </si>
  <si>
    <t xml:space="preserve">What is mAint for?  </t>
  </si>
  <si>
    <t>how do I buy spares?  Summarise this valve in 50 words</t>
  </si>
  <si>
    <t>PDF Reader</t>
  </si>
  <si>
    <t>Uploading a document, contact details</t>
  </si>
  <si>
    <t>Functionality</t>
  </si>
  <si>
    <t>Adding value to PDF's</t>
  </si>
  <si>
    <t>ask a quick question, get an instant answer.  Glossary of terms.  Presentation.</t>
  </si>
  <si>
    <t>Tech support</t>
  </si>
  <si>
    <t>Using shareable links to share PDF and chat with remote teams - in different languages</t>
  </si>
  <si>
    <t>How do I service this valve?  How do I service this valve?  Answer in Spanish</t>
  </si>
  <si>
    <t>increasing sales by improving access to approved information</t>
  </si>
  <si>
    <t>Aquatec, Tritech</t>
  </si>
  <si>
    <t>how local and remote sales teams can use mAInt to improve their information, freeing up engineers and more experienced staff to get on with other priorities</t>
  </si>
  <si>
    <t>what is the depth rating, how does it communicate, what is it used for?</t>
  </si>
  <si>
    <t>Improving efficiency and information in your plant</t>
  </si>
  <si>
    <t>Using Frisch to solve problems in your plant / scanning QR code</t>
  </si>
  <si>
    <t>Who manufactures this valve?  This valve is leaking what should I do? How do I buy spares?</t>
  </si>
  <si>
    <t>Teaching</t>
  </si>
  <si>
    <t>Modules</t>
  </si>
  <si>
    <t>Using Frisch to teach - Lesson plan</t>
  </si>
  <si>
    <t>Employee efficiency</t>
  </si>
  <si>
    <t>Aquatec &amp; TFMC</t>
  </si>
  <si>
    <t>using mAInt to interrogate internal documents</t>
  </si>
  <si>
    <t>how do I take time off, can a supplier buy me dinner?  Can a supplier buy me a car?</t>
  </si>
  <si>
    <t>Embedding mAint into your software or website</t>
  </si>
  <si>
    <t xml:space="preserve">Showing how to use i-Frames in your website </t>
  </si>
  <si>
    <t>Monetise marketing with maint</t>
  </si>
  <si>
    <t>tritech</t>
  </si>
  <si>
    <t>Show how to get people to use QR codes with marketing material</t>
  </si>
  <si>
    <t>Improving manuals</t>
  </si>
  <si>
    <t>mAInt for teachers</t>
  </si>
  <si>
    <t>VW</t>
  </si>
  <si>
    <t>instant competence with mAint Quiz</t>
  </si>
  <si>
    <t>Develop comptence with mAInt Learn</t>
  </si>
  <si>
    <t>Client:</t>
  </si>
  <si>
    <t>Responsible Person</t>
  </si>
  <si>
    <t>Customer?</t>
  </si>
  <si>
    <t>Scope of Supply</t>
  </si>
  <si>
    <t>Features they Have</t>
  </si>
  <si>
    <t>Features they  want</t>
  </si>
  <si>
    <t>Bespoke Development</t>
  </si>
  <si>
    <t>Fortnnightly or Monthly Call?</t>
  </si>
  <si>
    <t>Attendees (Client)</t>
  </si>
  <si>
    <t>Background Notes:</t>
  </si>
  <si>
    <t>NDA in place?</t>
  </si>
  <si>
    <t>ACTIONS</t>
  </si>
  <si>
    <t>Outcome</t>
  </si>
  <si>
    <t>Due By</t>
  </si>
  <si>
    <t>Internal Actions for ScotAI:</t>
  </si>
  <si>
    <t>External Actions for Client:</t>
  </si>
  <si>
    <t>Frisch Engineered Products</t>
  </si>
  <si>
    <t>Yes - PO received.</t>
  </si>
  <si>
    <t>Embedded viewer</t>
  </si>
  <si>
    <t>Alan and Moray are good friends.</t>
  </si>
  <si>
    <t>Find out how to submit news to the Battleford Paper</t>
  </si>
  <si>
    <t>Sask Today newsoptimist.news@sasktel.net</t>
  </si>
  <si>
    <t xml:space="preserve">Draft sent to Alan </t>
  </si>
  <si>
    <t>Find out how to issue news to valve World (I have asked them)</t>
  </si>
  <si>
    <t>Email them to Melonie Dodaro.</t>
  </si>
  <si>
    <t>The Engineer:  Email jason.ford@markallengroup.com</t>
  </si>
  <si>
    <t>Industrial Valve News:  Email info@fcegroup.it</t>
  </si>
  <si>
    <t>Oil &amp; Gas News:  post@crescentpublishing.co.uk</t>
  </si>
  <si>
    <r>
      <t>Process Industry Informer</t>
    </r>
    <r>
      <rPr>
        <sz val="12"/>
        <color rgb="FF000000"/>
        <rFont val="Helvetica"/>
        <family val="2"/>
      </rPr>
      <t> philblack@piimag.com</t>
    </r>
  </si>
  <si>
    <r>
      <t>Oil &amp; Gas Journal</t>
    </r>
    <r>
      <rPr>
        <sz val="12"/>
        <color rgb="FF000000"/>
        <rFont val="Helvetica"/>
        <family val="2"/>
      </rPr>
      <t> </t>
    </r>
    <r>
      <rPr>
        <sz val="18"/>
        <color rgb="FF222222"/>
        <rFont val="Georgia"/>
        <family val="1"/>
      </rPr>
      <t>chriss@endeavorb2b.com</t>
    </r>
  </si>
  <si>
    <t>Energy Voice: mark.selby@energyvoice.com</t>
  </si>
  <si>
    <t>how to submit to Falkirk Herald</t>
  </si>
  <si>
    <t>https://submit.nationalworld.com/?__hstc=248024216.6db52291a163f3909b38107f5f96d16c.1713989243301.1724050603078.1724179522202.7&amp;__hssc=248024216.1.1724179522202&amp;__hsfp=1344339412</t>
  </si>
  <si>
    <t>dale.miller@scotsman.com</t>
  </si>
  <si>
    <t>Ask if a monthly meeting would be of interest?</t>
  </si>
  <si>
    <t>Ask for permissi9on for our release too</t>
  </si>
  <si>
    <t>Issue Press Release</t>
  </si>
  <si>
    <t>Ashtead Technologies</t>
  </si>
  <si>
    <t>Scott Bunker (and Fraser Collis)</t>
  </si>
  <si>
    <t>mAint Starter Kit</t>
  </si>
  <si>
    <t>Chat, Quiz</t>
  </si>
  <si>
    <t>Multi-Folder</t>
  </si>
  <si>
    <t>To be set up - Fortnightly</t>
  </si>
  <si>
    <t>Scott &amp; Fraser</t>
  </si>
  <si>
    <t>Contract in place.</t>
  </si>
  <si>
    <t>Note</t>
  </si>
  <si>
    <t>Scott happy - hasn’t had much feedback - is sorting out a drop-in session for us in Aberdeen (2 Sept 11.30am).  Hasn’t head back from Angela. Angela doesnt have an account yet -Scott has sent her a link but she hasnt clicked. Finn does (I have upgraded him to Inspector and will send him a note). They use Netsuite and Shepherd (ERP).    Netsuite is a turd but theyre trying to polish it.  We might have a shout at full BMS here.  Challenges with BMS docs - HSEQ stuff, we've told him we can fix it in 15 minutes - upload HSEQ manual, create QR code, stick it on the door to the workshop.</t>
  </si>
  <si>
    <t>1.  Scott to setup the meeting in Aberdeen (02 Sept 11.30), 2.  Moray to chase Angela (she is OOO until Thursday).  3.  let Finn know that I have upgraded him to Instructor.</t>
  </si>
  <si>
    <t>mAint plug-in to their 'CVS Manager' tool</t>
  </si>
  <si>
    <t>Press release (drafted, approved but still needs photo)</t>
  </si>
  <si>
    <t>To grow the account we need to get them to take more features.  This could include shareable links (QR code), Quiz, mAInt Edge (when it comes).</t>
  </si>
  <si>
    <t>Issue release to OGV, Energy Voice, etc</t>
  </si>
  <si>
    <t>mAint SK (20+1) and Kensit for 6 months.</t>
  </si>
  <si>
    <t>As above</t>
  </si>
  <si>
    <t>Roll out to many more users.</t>
  </si>
  <si>
    <t>Richard and Steven from their end, Moray &amp; Nick</t>
  </si>
  <si>
    <t>Enterprise Standard</t>
  </si>
  <si>
    <t>Implied Starter Kit subs</t>
  </si>
  <si>
    <t>Per User</t>
  </si>
  <si>
    <t>No. Users</t>
  </si>
  <si>
    <t>1-20 Users</t>
  </si>
  <si>
    <t>20-40 Users</t>
  </si>
  <si>
    <t>40-60 Users</t>
  </si>
  <si>
    <t>60-80 Users</t>
  </si>
  <si>
    <t>80-100 Users</t>
  </si>
  <si>
    <t>100-120 Users</t>
  </si>
  <si>
    <t>120-140 Users</t>
  </si>
  <si>
    <t>140-160</t>
  </si>
  <si>
    <t>160-180</t>
  </si>
  <si>
    <t>180-200</t>
  </si>
  <si>
    <t>200-220</t>
  </si>
  <si>
    <t>220-240</t>
  </si>
  <si>
    <t>240-260</t>
  </si>
  <si>
    <t>260-280</t>
  </si>
  <si>
    <t>280-300</t>
  </si>
  <si>
    <t>300-320</t>
  </si>
  <si>
    <t>320-340</t>
  </si>
  <si>
    <t>340-360</t>
  </si>
  <si>
    <t>360-380</t>
  </si>
  <si>
    <t>380-400</t>
  </si>
  <si>
    <t>400-420</t>
  </si>
  <si>
    <t>420-440</t>
  </si>
  <si>
    <t>Calculator for Subs</t>
  </si>
  <si>
    <t>Portal</t>
  </si>
  <si>
    <t>Discount</t>
  </si>
  <si>
    <t>Users</t>
  </si>
  <si>
    <t>per user per annum</t>
  </si>
  <si>
    <t>Annual subs per user (Ent Standard)</t>
  </si>
  <si>
    <t>Total discount (amount)</t>
  </si>
  <si>
    <t>Total discount (%)</t>
  </si>
  <si>
    <t>Enterprise Admin</t>
  </si>
  <si>
    <t>500 each</t>
  </si>
  <si>
    <t>Enterprise Basic</t>
  </si>
  <si>
    <t>100 each</t>
  </si>
  <si>
    <t>available in blocks of 20</t>
  </si>
  <si>
    <t>Note:</t>
  </si>
  <si>
    <t>Subscriptions are available in blocks of 20.</t>
  </si>
  <si>
    <t>Discounts are sequentially applied, however on the annual renewal shall be applied at the appropriate bulk rate for all users.</t>
  </si>
  <si>
    <t xml:space="preserve">Note - </t>
  </si>
  <si>
    <t>Add Enterprise Admin 500/seat</t>
  </si>
  <si>
    <t>Enterprise Basic (no upload, but secure).  100/seat</t>
  </si>
  <si>
    <t>Kickoff</t>
  </si>
  <si>
    <t>09 Jan, 1500, Green Cat Roslin</t>
  </si>
  <si>
    <t>Moray &amp; Nick</t>
  </si>
  <si>
    <t>mAint (annual Subs for 15 users &amp; 2 portals under a starter kit), Kensit (1,000 credits) for 6 months.</t>
  </si>
  <si>
    <t>inspect &amp; asset manageemnt when they come.</t>
  </si>
  <si>
    <t>Cost for bespke development</t>
  </si>
  <si>
    <t>Cameron (Tech Dir), Nick (AI), Moray &amp; Nick</t>
  </si>
  <si>
    <t>Invoice Green Cat</t>
  </si>
  <si>
    <t>Setup 15 users</t>
  </si>
  <si>
    <t>Create 2 Portals</t>
  </si>
  <si>
    <t>Raise 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</si>
</sst>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809]dd\ mmmm\ yyyy;@"/>
    <numFmt numFmtId="166" formatCode="0.0"/>
    <numFmt numFmtId="167" formatCode="&quot;£&quot;#,##0"/>
  </numFmts>
  <fonts count="54">
    <font>
      <sz val="12"/>
      <color theme="1"/>
      <name val="Aptos Narrow"/>
      <family val="2"/>
      <scheme val="minor"/>
    </font>
    <font>
      <b/>
      <sz val="12"/>
      <color theme="1"/>
      <name val="Aptos Narrow"/>
      <family val="2"/>
      <scheme val="minor"/>
    </font>
    <font>
      <u/>
      <sz val="12"/>
      <color theme="10"/>
      <name val="Aptos Narrow"/>
      <family val="2"/>
      <scheme val="minor"/>
    </font>
    <font>
      <b/>
      <sz val="11"/>
      <color rgb="FF000000"/>
      <name val="Calibri"/>
      <family val="2"/>
    </font>
    <font>
      <b/>
      <sz val="12"/>
      <color theme="1"/>
      <name val="Aptos Narrow"/>
      <scheme val="minor"/>
    </font>
    <font>
      <b/>
      <sz val="12"/>
      <color rgb="FF000000"/>
      <name val="Aptos Narrow"/>
      <family val="2"/>
      <scheme val="minor"/>
    </font>
    <font>
      <b/>
      <sz val="16"/>
      <color theme="1"/>
      <name val="Aptos Narrow"/>
      <scheme val="minor"/>
    </font>
    <font>
      <b/>
      <sz val="12"/>
      <color rgb="FF000000"/>
      <name val="Aptos Narrow"/>
      <scheme val="minor"/>
    </font>
    <font>
      <sz val="12"/>
      <color rgb="FF000000"/>
      <name val="Aptos Narrow"/>
      <family val="2"/>
      <scheme val="minor"/>
    </font>
    <font>
      <b/>
      <u/>
      <sz val="12"/>
      <color theme="1"/>
      <name val="Aptos Narrow"/>
      <scheme val="minor"/>
    </font>
    <font>
      <u/>
      <sz val="12"/>
      <color rgb="FF000000"/>
      <name val="Helvetica"/>
      <family val="2"/>
    </font>
    <font>
      <sz val="12"/>
      <color rgb="FF000000"/>
      <name val="Helvetica"/>
      <family val="2"/>
    </font>
    <font>
      <sz val="18"/>
      <color rgb="FF222222"/>
      <name val="Georgia"/>
      <family val="1"/>
    </font>
    <font>
      <sz val="16"/>
      <color theme="1"/>
      <name val="Aptos Narrow"/>
      <scheme val="minor"/>
    </font>
    <font>
      <sz val="12"/>
      <color theme="1"/>
      <name val="Aptos Narrow"/>
      <scheme val="minor"/>
    </font>
    <font>
      <sz val="8"/>
      <name val="Aptos Narrow"/>
      <family val="2"/>
      <scheme val="minor"/>
    </font>
    <font>
      <sz val="12"/>
      <color rgb="FF000000"/>
      <name val="Aptos Narrow"/>
      <scheme val="minor"/>
    </font>
    <font>
      <b/>
      <sz val="14"/>
      <color rgb="FFFFFFFF"/>
      <name val="Times New Roman"/>
      <family val="1"/>
    </font>
    <font>
      <sz val="11"/>
      <color rgb="FF000000"/>
      <name val="Aptos Narrow"/>
      <family val="2"/>
      <scheme val="minor"/>
    </font>
    <font>
      <sz val="10"/>
      <color rgb="FF000000"/>
      <name val="Arial"/>
      <family val="2"/>
    </font>
    <font>
      <b/>
      <sz val="11"/>
      <color rgb="FF000000"/>
      <name val="Aptos Narrow"/>
      <family val="2"/>
      <scheme val="minor"/>
    </font>
    <font>
      <b/>
      <sz val="10"/>
      <color rgb="FF000000"/>
      <name val="Arial"/>
      <family val="2"/>
    </font>
    <font>
      <sz val="12"/>
      <color theme="1"/>
      <name val="Arial Unicode MS"/>
      <family val="2"/>
    </font>
    <font>
      <u/>
      <sz val="12"/>
      <color theme="10"/>
      <name val="Arial Unicode MS"/>
      <family val="2"/>
    </font>
    <font>
      <sz val="12"/>
      <color rgb="FF000000"/>
      <name val="Arial Unicode MS"/>
      <family val="2"/>
    </font>
    <font>
      <sz val="14"/>
      <color theme="1"/>
      <name val="Arial Unicode MS"/>
      <family val="2"/>
    </font>
    <font>
      <b/>
      <sz val="12"/>
      <color theme="1"/>
      <name val="Arial Unicode MS"/>
      <family val="2"/>
    </font>
    <font>
      <b/>
      <sz val="12"/>
      <color theme="0"/>
      <name val="Aptos Narrow"/>
      <scheme val="minor"/>
    </font>
    <font>
      <sz val="11"/>
      <color rgb="FF000000"/>
      <name val="Calibri"/>
      <family val="2"/>
    </font>
    <font>
      <sz val="10"/>
      <color rgb="FF000000"/>
      <name val="Tahoma"/>
      <family val="2"/>
    </font>
    <font>
      <b/>
      <sz val="10"/>
      <color rgb="FF000000"/>
      <name val="Tahoma"/>
      <family val="2"/>
    </font>
    <font>
      <sz val="12"/>
      <color rgb="FFFF0000"/>
      <name val="Aptos Narrow (Body)"/>
    </font>
    <font>
      <b/>
      <sz val="12"/>
      <color theme="1"/>
      <name val="Aptos Narrow (Body)"/>
    </font>
    <font>
      <sz val="12"/>
      <color theme="1"/>
      <name val="Aptos Narrow (Body)"/>
    </font>
    <font>
      <sz val="12"/>
      <color rgb="FF474747"/>
      <name val="Aptos Narrow"/>
      <scheme val="minor"/>
    </font>
    <font>
      <sz val="12"/>
      <color rgb="FF282828"/>
      <name val="Aptos Narrow"/>
      <scheme val="minor"/>
    </font>
    <font>
      <b/>
      <sz val="12"/>
      <color rgb="FFFFFFFF"/>
      <name val="Aptos Narrow"/>
      <scheme val="minor"/>
    </font>
    <font>
      <sz val="11"/>
      <color theme="1"/>
      <name val="Calibri"/>
      <family val="2"/>
    </font>
    <font>
      <b/>
      <sz val="11"/>
      <color theme="1"/>
      <name val="Calibri"/>
      <family val="2"/>
    </font>
    <font>
      <sz val="11"/>
      <color theme="1"/>
      <name val="Calibri"/>
      <family val="2"/>
      <charset val="1"/>
    </font>
    <font>
      <b/>
      <sz val="11"/>
      <color theme="1"/>
      <name val="Calibri"/>
      <family val="2"/>
      <charset val="1"/>
    </font>
    <font>
      <b/>
      <sz val="13.5"/>
      <color rgb="FF155724"/>
      <name val="Aptos Display"/>
      <scheme val="major"/>
    </font>
    <font>
      <sz val="12"/>
      <color theme="1"/>
      <name val="Aptos Display"/>
      <scheme val="major"/>
    </font>
    <font>
      <b/>
      <sz val="12"/>
      <color theme="1"/>
      <name val="Aptos Display"/>
      <scheme val="major"/>
    </font>
    <font>
      <b/>
      <sz val="13.5"/>
      <color rgb="FF155724"/>
      <name val="Aptos Display"/>
      <charset val="1"/>
    </font>
    <font>
      <sz val="12"/>
      <color rgb="FF000000"/>
      <name val="Aptos Display"/>
      <charset val="1"/>
    </font>
    <font>
      <b/>
      <sz val="12"/>
      <color rgb="FF000000"/>
      <name val="Aptos Display"/>
      <charset val="1"/>
    </font>
    <font>
      <sz val="14"/>
      <color theme="1"/>
      <name val="Helvetica Neue"/>
      <family val="2"/>
    </font>
    <font>
      <sz val="14"/>
      <color rgb="FF0A66C2"/>
      <name val="Helvetica Neue"/>
      <family val="2"/>
    </font>
    <font>
      <sz val="12"/>
      <color rgb="FF000000"/>
      <name val="Aptos Narrow"/>
    </font>
    <font>
      <b/>
      <sz val="12"/>
      <color rgb="FFFF0000"/>
      <name val="Aptos Narrow"/>
      <family val="2"/>
      <scheme val="minor"/>
    </font>
    <font>
      <sz val="11"/>
      <color theme="1"/>
      <name val="-Apple-System"/>
      <charset val="1"/>
    </font>
    <font>
      <sz val="20"/>
      <color theme="1"/>
      <name val="Arial"/>
      <family val="2"/>
    </font>
    <font>
      <b/>
      <sz val="18"/>
      <color theme="1"/>
      <name val="Aptos Narrow"/>
      <family val="2"/>
      <scheme val="minor"/>
    </font>
  </fonts>
  <fills count="32">
    <fill>
      <patternFill patternType="none"/>
    </fill>
    <fill>
      <patternFill patternType="gray125"/>
    </fill>
    <fill>
      <patternFill patternType="solid">
        <fgColor rgb="FFFFFF00"/>
        <bgColor indexed="64"/>
      </patternFill>
    </fill>
    <fill>
      <patternFill patternType="solid">
        <fgColor rgb="FF00B0F0"/>
        <bgColor rgb="FF000000"/>
      </patternFill>
    </fill>
    <fill>
      <patternFill patternType="solid">
        <fgColor theme="8" tint="0.39997558519241921"/>
        <bgColor rgb="FF000000"/>
      </patternFill>
    </fill>
    <fill>
      <patternFill patternType="solid">
        <fgColor rgb="FF92D050"/>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rgb="FFFFC000"/>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741B47"/>
        <bgColor rgb="FF000000"/>
      </patternFill>
    </fill>
    <fill>
      <patternFill patternType="solid">
        <fgColor theme="3" tint="0.749992370372631"/>
        <bgColor indexed="64"/>
      </patternFill>
    </fill>
    <fill>
      <patternFill patternType="solid">
        <fgColor rgb="FF00B0F0"/>
        <bgColor indexed="64"/>
      </patternFill>
    </fill>
    <fill>
      <patternFill patternType="solid">
        <fgColor rgb="FF002060"/>
        <bgColor indexed="64"/>
      </patternFill>
    </fill>
    <fill>
      <patternFill patternType="solid">
        <fgColor theme="0" tint="-0.34998626667073579"/>
        <bgColor indexed="64"/>
      </patternFill>
    </fill>
    <fill>
      <patternFill patternType="solid">
        <fgColor rgb="FFFF0000"/>
        <bgColor indexed="64"/>
      </patternFill>
    </fill>
    <fill>
      <patternFill patternType="solid">
        <fgColor theme="5" tint="-0.249977111117893"/>
        <bgColor indexed="64"/>
      </patternFill>
    </fill>
    <fill>
      <patternFill patternType="solid">
        <fgColor theme="0" tint="-0.499984740745262"/>
        <bgColor indexed="64"/>
      </patternFill>
    </fill>
    <fill>
      <patternFill patternType="solid">
        <fgColor rgb="FF002060"/>
        <bgColor rgb="FF000000"/>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bgColor indexed="64"/>
      </patternFill>
    </fill>
    <fill>
      <patternFill patternType="solid">
        <fgColor theme="9"/>
        <bgColor indexed="64"/>
      </patternFill>
    </fill>
    <fill>
      <patternFill patternType="solid">
        <fgColor theme="2"/>
        <bgColor indexed="64"/>
      </patternFill>
    </fill>
    <fill>
      <patternFill patternType="solid">
        <fgColor rgb="FFC00000"/>
        <bgColor indexed="64"/>
      </patternFill>
    </fill>
    <fill>
      <patternFill patternType="solid">
        <fgColor theme="6" tint="0.79998168889431442"/>
        <bgColor indexed="64"/>
      </patternFill>
    </fill>
    <fill>
      <patternFill patternType="solid">
        <fgColor rgb="FF00B050"/>
        <bgColor indexed="64"/>
      </patternFill>
    </fill>
    <fill>
      <patternFill patternType="solid">
        <fgColor theme="4"/>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353">
    <xf numFmtId="0" fontId="0" fillId="0" borderId="0" xfId="0"/>
    <xf numFmtId="0" fontId="2" fillId="0" borderId="0" xfId="1"/>
    <xf numFmtId="0" fontId="1" fillId="0" borderId="0" xfId="0" applyFont="1"/>
    <xf numFmtId="0" fontId="3" fillId="0" borderId="0" xfId="0" applyFont="1"/>
    <xf numFmtId="0" fontId="0" fillId="0" borderId="0" xfId="0" applyAlignment="1">
      <alignment wrapText="1"/>
    </xf>
    <xf numFmtId="0" fontId="4" fillId="0" borderId="0" xfId="0" applyFont="1"/>
    <xf numFmtId="16" fontId="0" fillId="0" borderId="0" xfId="0" applyNumberFormat="1"/>
    <xf numFmtId="0" fontId="5" fillId="0" borderId="0" xfId="0" applyFont="1"/>
    <xf numFmtId="0" fontId="4" fillId="0" borderId="0" xfId="0" applyFont="1" applyAlignment="1">
      <alignment wrapText="1"/>
    </xf>
    <xf numFmtId="0" fontId="6" fillId="0" borderId="0" xfId="0" applyFont="1" applyAlignment="1">
      <alignment wrapText="1"/>
    </xf>
    <xf numFmtId="0" fontId="7" fillId="3" borderId="0" xfId="0" applyFont="1" applyFill="1" applyAlignment="1">
      <alignment wrapText="1"/>
    </xf>
    <xf numFmtId="0" fontId="8" fillId="0" borderId="0" xfId="0" applyFont="1" applyAlignment="1">
      <alignment wrapText="1"/>
    </xf>
    <xf numFmtId="0" fontId="7" fillId="4" borderId="0" xfId="0" applyFont="1" applyFill="1" applyAlignment="1">
      <alignment wrapText="1"/>
    </xf>
    <xf numFmtId="0" fontId="8" fillId="3" borderId="0" xfId="0" applyFont="1" applyFill="1" applyAlignment="1">
      <alignment wrapText="1"/>
    </xf>
    <xf numFmtId="16" fontId="0" fillId="0" borderId="0" xfId="0" applyNumberFormat="1" applyAlignment="1">
      <alignment wrapText="1"/>
    </xf>
    <xf numFmtId="0" fontId="8" fillId="4" borderId="0" xfId="0" applyFont="1" applyFill="1" applyAlignment="1">
      <alignment wrapText="1"/>
    </xf>
    <xf numFmtId="0" fontId="6" fillId="5" borderId="0" xfId="0" applyFont="1" applyFill="1" applyAlignment="1">
      <alignment wrapText="1"/>
    </xf>
    <xf numFmtId="0" fontId="4" fillId="0" borderId="0" xfId="0" applyFont="1" applyAlignment="1">
      <alignment horizontal="left" vertical="center" wrapText="1"/>
    </xf>
    <xf numFmtId="0" fontId="0" fillId="0" borderId="0" xfId="0" applyAlignment="1">
      <alignment horizontal="center" vertical="center" wrapText="1"/>
    </xf>
    <xf numFmtId="0" fontId="9" fillId="0" borderId="0" xfId="0" applyFont="1"/>
    <xf numFmtId="0" fontId="0" fillId="0" borderId="0" xfId="0" applyAlignment="1">
      <alignment horizontal="center" vertical="center"/>
    </xf>
    <xf numFmtId="0" fontId="4" fillId="0" borderId="1" xfId="0" applyFont="1" applyBorder="1"/>
    <xf numFmtId="0" fontId="4" fillId="0" borderId="1" xfId="0" applyFont="1" applyBorder="1" applyAlignment="1">
      <alignment horizontal="center" vertical="center"/>
    </xf>
    <xf numFmtId="0" fontId="7" fillId="7" borderId="0" xfId="0" applyFont="1" applyFill="1"/>
    <xf numFmtId="0" fontId="4" fillId="7" borderId="0" xfId="0" applyFont="1" applyFill="1" applyAlignment="1">
      <alignment wrapText="1"/>
    </xf>
    <xf numFmtId="0" fontId="4" fillId="7" borderId="0" xfId="0" applyFont="1" applyFill="1"/>
    <xf numFmtId="0" fontId="5" fillId="7" borderId="0" xfId="0" applyFont="1" applyFill="1"/>
    <xf numFmtId="0" fontId="6" fillId="7" borderId="0" xfId="0" applyFont="1" applyFill="1" applyAlignment="1">
      <alignment wrapText="1"/>
    </xf>
    <xf numFmtId="0" fontId="10" fillId="0" borderId="0" xfId="0" applyFont="1"/>
    <xf numFmtId="0" fontId="13" fillId="0" borderId="0" xfId="0" applyFont="1" applyAlignment="1">
      <alignment wrapText="1"/>
    </xf>
    <xf numFmtId="0" fontId="14" fillId="0" borderId="0" xfId="0" applyFont="1" applyAlignment="1">
      <alignment wrapText="1"/>
    </xf>
    <xf numFmtId="15" fontId="0" fillId="0" borderId="0" xfId="0" applyNumberFormat="1"/>
    <xf numFmtId="15" fontId="4" fillId="0" borderId="0" xfId="0" applyNumberFormat="1" applyFont="1"/>
    <xf numFmtId="15" fontId="14" fillId="0" borderId="0" xfId="0" applyNumberFormat="1" applyFont="1"/>
    <xf numFmtId="0" fontId="14" fillId="0" borderId="0" xfId="0" applyFont="1"/>
    <xf numFmtId="0" fontId="0" fillId="2" borderId="0" xfId="0" applyFill="1"/>
    <xf numFmtId="0" fontId="2" fillId="0" borderId="0" xfId="1" applyAlignment="1">
      <alignment wrapText="1"/>
    </xf>
    <xf numFmtId="0" fontId="0" fillId="0" borderId="1" xfId="0" applyBorder="1"/>
    <xf numFmtId="0" fontId="0" fillId="0" borderId="1" xfId="0" applyBorder="1" applyAlignment="1">
      <alignment wrapText="1"/>
    </xf>
    <xf numFmtId="16" fontId="0" fillId="0" borderId="1" xfId="0" applyNumberFormat="1" applyBorder="1"/>
    <xf numFmtId="0" fontId="4" fillId="0" borderId="1" xfId="0" applyFont="1" applyBorder="1" applyAlignment="1">
      <alignment wrapText="1"/>
    </xf>
    <xf numFmtId="0" fontId="0" fillId="0" borderId="1" xfId="0" applyBorder="1" applyAlignment="1">
      <alignment horizontal="center"/>
    </xf>
    <xf numFmtId="0" fontId="0" fillId="0" borderId="1" xfId="0" applyBorder="1" applyAlignment="1">
      <alignment horizontal="center" vertical="center"/>
    </xf>
    <xf numFmtId="0" fontId="14" fillId="0" borderId="1" xfId="0" applyFont="1" applyBorder="1"/>
    <xf numFmtId="0" fontId="16" fillId="0" borderId="0" xfId="0" applyFont="1"/>
    <xf numFmtId="2" fontId="0" fillId="0" borderId="0" xfId="0" applyNumberFormat="1"/>
    <xf numFmtId="166" fontId="0" fillId="0" borderId="0" xfId="0" applyNumberFormat="1"/>
    <xf numFmtId="1" fontId="0" fillId="0" borderId="0" xfId="0" applyNumberFormat="1"/>
    <xf numFmtId="9" fontId="0" fillId="0" borderId="0" xfId="0" applyNumberFormat="1"/>
    <xf numFmtId="17" fontId="4" fillId="0" borderId="0" xfId="0" applyNumberFormat="1" applyFont="1"/>
    <xf numFmtId="0" fontId="4" fillId="0" borderId="0" xfId="0" applyFont="1" applyAlignment="1">
      <alignment horizontal="center"/>
    </xf>
    <xf numFmtId="0" fontId="4" fillId="2" borderId="0" xfId="0" applyFont="1" applyFill="1" applyAlignment="1">
      <alignment wrapText="1"/>
    </xf>
    <xf numFmtId="0" fontId="0" fillId="2" borderId="0" xfId="0" applyFill="1" applyAlignment="1">
      <alignment wrapText="1"/>
    </xf>
    <xf numFmtId="0" fontId="17" fillId="14" borderId="5" xfId="0" applyFont="1" applyFill="1" applyBorder="1" applyAlignment="1">
      <alignment readingOrder="1"/>
    </xf>
    <xf numFmtId="0" fontId="17" fillId="14" borderId="0" xfId="0" applyFont="1" applyFill="1" applyAlignment="1">
      <alignment readingOrder="1"/>
    </xf>
    <xf numFmtId="0" fontId="18" fillId="0" borderId="0" xfId="0" applyFont="1"/>
    <xf numFmtId="0" fontId="19" fillId="0" borderId="6" xfId="0" applyFont="1" applyBorder="1" applyAlignment="1">
      <alignment readingOrder="1"/>
    </xf>
    <xf numFmtId="0" fontId="20" fillId="0" borderId="0" xfId="0" applyFont="1"/>
    <xf numFmtId="0" fontId="19" fillId="0" borderId="0" xfId="0" applyFont="1" applyAlignment="1">
      <alignment readingOrder="1"/>
    </xf>
    <xf numFmtId="0" fontId="21" fillId="0" borderId="0" xfId="0" applyFont="1" applyAlignment="1">
      <alignment readingOrder="1"/>
    </xf>
    <xf numFmtId="0" fontId="19" fillId="0" borderId="7" xfId="0" applyFont="1" applyBorder="1" applyAlignment="1">
      <alignment readingOrder="1"/>
    </xf>
    <xf numFmtId="0" fontId="22" fillId="5" borderId="1" xfId="0" applyFont="1" applyFill="1" applyBorder="1" applyAlignment="1">
      <alignment vertical="center"/>
    </xf>
    <xf numFmtId="0" fontId="22" fillId="0" borderId="0" xfId="0" applyFont="1" applyAlignment="1">
      <alignment vertical="center"/>
    </xf>
    <xf numFmtId="0" fontId="22" fillId="5" borderId="1" xfId="0" applyFont="1" applyFill="1" applyBorder="1" applyAlignment="1">
      <alignment vertical="center" wrapText="1"/>
    </xf>
    <xf numFmtId="0" fontId="22" fillId="0" borderId="1" xfId="0" applyFont="1" applyBorder="1" applyAlignment="1">
      <alignment vertical="center"/>
    </xf>
    <xf numFmtId="0" fontId="22" fillId="0" borderId="1" xfId="0" applyFont="1" applyBorder="1" applyAlignment="1">
      <alignment horizontal="center" vertical="center"/>
    </xf>
    <xf numFmtId="0" fontId="23" fillId="0" borderId="1" xfId="1" applyFont="1" applyFill="1" applyBorder="1" applyAlignment="1">
      <alignment vertical="center"/>
    </xf>
    <xf numFmtId="165" fontId="22" fillId="0" borderId="1" xfId="0" applyNumberFormat="1" applyFont="1" applyBorder="1" applyAlignment="1">
      <alignment vertical="center"/>
    </xf>
    <xf numFmtId="0" fontId="22" fillId="0" borderId="1" xfId="0" applyFont="1" applyBorder="1" applyAlignment="1">
      <alignment vertical="center" wrapText="1"/>
    </xf>
    <xf numFmtId="0" fontId="22" fillId="0" borderId="0" xfId="0" applyFont="1"/>
    <xf numFmtId="0" fontId="22" fillId="2" borderId="1" xfId="0" applyFont="1" applyFill="1" applyBorder="1"/>
    <xf numFmtId="0" fontId="23" fillId="0" borderId="1" xfId="1" applyFont="1" applyBorder="1" applyAlignment="1">
      <alignment vertical="center"/>
    </xf>
    <xf numFmtId="16" fontId="22" fillId="0" borderId="1" xfId="0" applyNumberFormat="1" applyFont="1" applyBorder="1" applyAlignment="1">
      <alignment vertical="center"/>
    </xf>
    <xf numFmtId="0" fontId="22" fillId="2" borderId="0" xfId="0" applyFont="1" applyFill="1"/>
    <xf numFmtId="0" fontId="22" fillId="2" borderId="1" xfId="0" applyFont="1" applyFill="1" applyBorder="1" applyAlignment="1">
      <alignment vertical="center"/>
    </xf>
    <xf numFmtId="165" fontId="22" fillId="11" borderId="1" xfId="0" applyNumberFormat="1" applyFont="1" applyFill="1" applyBorder="1" applyAlignment="1">
      <alignment vertical="center"/>
    </xf>
    <xf numFmtId="165" fontId="22" fillId="10" borderId="1" xfId="0" applyNumberFormat="1" applyFont="1" applyFill="1" applyBorder="1" applyAlignment="1">
      <alignment vertical="center"/>
    </xf>
    <xf numFmtId="0" fontId="22" fillId="2" borderId="1" xfId="0" applyFont="1" applyFill="1" applyBorder="1" applyAlignment="1">
      <alignment vertical="center" wrapText="1"/>
    </xf>
    <xf numFmtId="0" fontId="22" fillId="9" borderId="1" xfId="0" applyFont="1" applyFill="1" applyBorder="1" applyAlignment="1">
      <alignment vertical="center"/>
    </xf>
    <xf numFmtId="0" fontId="22" fillId="0" borderId="1" xfId="0" applyFont="1" applyBorder="1"/>
    <xf numFmtId="165" fontId="24" fillId="0" borderId="1" xfId="0" applyNumberFormat="1" applyFont="1" applyBorder="1" applyAlignment="1">
      <alignment vertical="center"/>
    </xf>
    <xf numFmtId="0" fontId="22" fillId="2" borderId="0" xfId="0" applyFont="1" applyFill="1" applyAlignment="1">
      <alignment vertical="center"/>
    </xf>
    <xf numFmtId="165" fontId="22" fillId="0" borderId="1" xfId="0" applyNumberFormat="1" applyFont="1" applyBorder="1"/>
    <xf numFmtId="0" fontId="22" fillId="0" borderId="1" xfId="0" applyFont="1" applyBorder="1" applyAlignment="1">
      <alignment wrapText="1"/>
    </xf>
    <xf numFmtId="0" fontId="25" fillId="0" borderId="1" xfId="0" applyFont="1" applyBorder="1" applyAlignment="1">
      <alignment vertical="center"/>
    </xf>
    <xf numFmtId="0" fontId="22" fillId="6" borderId="1" xfId="0" applyFont="1" applyFill="1" applyBorder="1" applyAlignment="1">
      <alignment vertical="center"/>
    </xf>
    <xf numFmtId="165" fontId="22" fillId="2" borderId="1" xfId="0" applyNumberFormat="1" applyFont="1" applyFill="1" applyBorder="1" applyAlignment="1">
      <alignment vertical="center"/>
    </xf>
    <xf numFmtId="165" fontId="22" fillId="8" borderId="1" xfId="0" applyNumberFormat="1" applyFont="1" applyFill="1" applyBorder="1" applyAlignment="1">
      <alignment vertical="center"/>
    </xf>
    <xf numFmtId="165" fontId="22" fillId="12" borderId="1" xfId="0" applyNumberFormat="1" applyFont="1" applyFill="1" applyBorder="1" applyAlignment="1">
      <alignment vertical="center"/>
    </xf>
    <xf numFmtId="0" fontId="22" fillId="0" borderId="0" xfId="0" applyFont="1" applyAlignment="1">
      <alignment horizontal="center" vertical="center"/>
    </xf>
    <xf numFmtId="165" fontId="22" fillId="0" borderId="0" xfId="0" applyNumberFormat="1" applyFont="1" applyAlignment="1">
      <alignment vertical="center"/>
    </xf>
    <xf numFmtId="0" fontId="22" fillId="0" borderId="0" xfId="0" applyFont="1" applyAlignment="1">
      <alignment vertical="center" wrapText="1"/>
    </xf>
    <xf numFmtId="165" fontId="22" fillId="0" borderId="4" xfId="0" applyNumberFormat="1" applyFont="1" applyBorder="1" applyAlignment="1">
      <alignment vertical="center"/>
    </xf>
    <xf numFmtId="0" fontId="22" fillId="0" borderId="4" xfId="0" applyFont="1" applyBorder="1" applyAlignment="1">
      <alignment vertical="center" wrapText="1"/>
    </xf>
    <xf numFmtId="0" fontId="24" fillId="0" borderId="1" xfId="0" applyFont="1" applyBorder="1" applyAlignment="1">
      <alignment vertical="center" wrapText="1"/>
    </xf>
    <xf numFmtId="0" fontId="23" fillId="0" borderId="0" xfId="1" applyFont="1" applyBorder="1" applyAlignment="1">
      <alignment vertical="center"/>
    </xf>
    <xf numFmtId="16" fontId="22" fillId="0" borderId="0" xfId="0" applyNumberFormat="1" applyFont="1" applyAlignment="1">
      <alignment vertical="center"/>
    </xf>
    <xf numFmtId="3" fontId="22" fillId="0" borderId="1" xfId="0" applyNumberFormat="1" applyFont="1" applyBorder="1" applyAlignment="1">
      <alignment vertical="center"/>
    </xf>
    <xf numFmtId="1" fontId="22" fillId="0" borderId="1" xfId="0" applyNumberFormat="1" applyFont="1" applyBorder="1" applyAlignment="1">
      <alignment vertical="center"/>
    </xf>
    <xf numFmtId="0" fontId="0" fillId="15" borderId="1" xfId="0" applyFill="1" applyBorder="1"/>
    <xf numFmtId="0" fontId="0" fillId="15" borderId="8" xfId="0" applyFill="1" applyBorder="1"/>
    <xf numFmtId="0" fontId="4" fillId="0" borderId="12" xfId="0" applyFont="1" applyBorder="1" applyAlignment="1">
      <alignment horizontal="center"/>
    </xf>
    <xf numFmtId="0" fontId="4" fillId="15" borderId="13" xfId="0" applyFont="1" applyFill="1" applyBorder="1" applyAlignment="1">
      <alignment horizontal="center"/>
    </xf>
    <xf numFmtId="0" fontId="4" fillId="8" borderId="0" xfId="0" applyFont="1" applyFill="1"/>
    <xf numFmtId="16" fontId="22" fillId="0" borderId="1" xfId="0" applyNumberFormat="1" applyFont="1" applyBorder="1" applyAlignment="1">
      <alignment vertical="center" wrapText="1"/>
    </xf>
    <xf numFmtId="0" fontId="8" fillId="0" borderId="1" xfId="0" applyFont="1" applyBorder="1"/>
    <xf numFmtId="164" fontId="0" fillId="0" borderId="0" xfId="0" applyNumberFormat="1"/>
    <xf numFmtId="0" fontId="27" fillId="17" borderId="0" xfId="0" applyFont="1" applyFill="1"/>
    <xf numFmtId="0" fontId="0" fillId="8" borderId="0" xfId="0" applyFill="1"/>
    <xf numFmtId="0" fontId="0" fillId="5" borderId="0" xfId="0" applyFill="1"/>
    <xf numFmtId="0" fontId="0" fillId="5" borderId="8" xfId="0" applyFill="1" applyBorder="1"/>
    <xf numFmtId="0" fontId="28" fillId="0" borderId="0" xfId="0" applyFont="1"/>
    <xf numFmtId="14" fontId="28" fillId="0" borderId="0" xfId="0" applyNumberFormat="1" applyFont="1"/>
    <xf numFmtId="0" fontId="3" fillId="0" borderId="15" xfId="0" applyFont="1" applyBorder="1"/>
    <xf numFmtId="0" fontId="4" fillId="5" borderId="0" xfId="0" applyFont="1" applyFill="1"/>
    <xf numFmtId="0" fontId="0" fillId="19" borderId="8" xfId="0" applyFill="1" applyBorder="1"/>
    <xf numFmtId="0" fontId="0" fillId="10" borderId="0" xfId="0" applyFill="1"/>
    <xf numFmtId="0" fontId="4" fillId="10" borderId="0" xfId="0" applyFont="1" applyFill="1"/>
    <xf numFmtId="0" fontId="0" fillId="8" borderId="0" xfId="0" applyFill="1" applyAlignment="1">
      <alignment horizontal="center"/>
    </xf>
    <xf numFmtId="0" fontId="0" fillId="15" borderId="1" xfId="0" applyFill="1" applyBorder="1" applyAlignment="1">
      <alignment horizontal="center"/>
    </xf>
    <xf numFmtId="0" fontId="0" fillId="8" borderId="1" xfId="0" applyFill="1" applyBorder="1" applyAlignment="1">
      <alignment horizontal="center"/>
    </xf>
    <xf numFmtId="0" fontId="28" fillId="0" borderId="0" xfId="0" applyFont="1" applyAlignment="1">
      <alignment horizontal="center" vertical="center"/>
    </xf>
    <xf numFmtId="0" fontId="28" fillId="0" borderId="0" xfId="0" applyFont="1" applyAlignment="1">
      <alignment vertical="center"/>
    </xf>
    <xf numFmtId="0" fontId="0" fillId="0" borderId="0" xfId="0" applyAlignment="1">
      <alignment vertical="center"/>
    </xf>
    <xf numFmtId="16" fontId="4" fillId="10" borderId="18" xfId="0" applyNumberFormat="1" applyFont="1" applyFill="1" applyBorder="1" applyAlignment="1">
      <alignment horizontal="center"/>
    </xf>
    <xf numFmtId="16" fontId="4" fillId="0" borderId="0" xfId="0" applyNumberFormat="1" applyFont="1" applyAlignment="1">
      <alignment horizontal="center"/>
    </xf>
    <xf numFmtId="16" fontId="4" fillId="0" borderId="19" xfId="0" applyNumberFormat="1" applyFont="1" applyBorder="1" applyAlignment="1">
      <alignment horizontal="center"/>
    </xf>
    <xf numFmtId="0" fontId="4" fillId="10" borderId="20" xfId="0" applyFont="1" applyFill="1" applyBorder="1" applyAlignment="1">
      <alignment horizontal="center"/>
    </xf>
    <xf numFmtId="0" fontId="4" fillId="15" borderId="21" xfId="0" applyFont="1" applyFill="1" applyBorder="1" applyAlignment="1">
      <alignment horizontal="center"/>
    </xf>
    <xf numFmtId="0" fontId="0" fillId="15" borderId="14" xfId="0" applyFill="1" applyBorder="1"/>
    <xf numFmtId="0" fontId="14" fillId="6" borderId="0" xfId="0" applyFont="1" applyFill="1"/>
    <xf numFmtId="0" fontId="0" fillId="15" borderId="1" xfId="0" applyFill="1" applyBorder="1" applyAlignment="1">
      <alignment vertical="center"/>
    </xf>
    <xf numFmtId="0" fontId="0" fillId="0" borderId="0" xfId="0" applyAlignment="1">
      <alignment horizontal="right"/>
    </xf>
    <xf numFmtId="0" fontId="14" fillId="20" borderId="0" xfId="0" applyFont="1" applyFill="1"/>
    <xf numFmtId="0" fontId="14" fillId="0" borderId="15" xfId="0" applyFont="1" applyBorder="1"/>
    <xf numFmtId="0" fontId="7" fillId="3" borderId="1" xfId="0" applyFont="1" applyFill="1" applyBorder="1" applyAlignment="1">
      <alignment wrapText="1"/>
    </xf>
    <xf numFmtId="0" fontId="8" fillId="3" borderId="1" xfId="0" applyFont="1" applyFill="1" applyBorder="1" applyAlignment="1">
      <alignment wrapText="1"/>
    </xf>
    <xf numFmtId="0" fontId="8" fillId="0" borderId="0" xfId="0" applyFont="1" applyAlignment="1">
      <alignment horizontal="center" wrapText="1"/>
    </xf>
    <xf numFmtId="0" fontId="33" fillId="0" borderId="0" xfId="0" applyFont="1" applyAlignment="1">
      <alignment wrapText="1"/>
    </xf>
    <xf numFmtId="0" fontId="9" fillId="0" borderId="0" xfId="0" applyFont="1" applyAlignment="1">
      <alignment horizontal="center" wrapText="1"/>
    </xf>
    <xf numFmtId="0" fontId="9" fillId="0" borderId="0" xfId="0" applyFont="1" applyAlignment="1">
      <alignment horizontal="center"/>
    </xf>
    <xf numFmtId="0" fontId="4" fillId="10" borderId="0" xfId="0" applyFont="1" applyFill="1" applyAlignment="1">
      <alignment horizontal="center"/>
    </xf>
    <xf numFmtId="0" fontId="4" fillId="15" borderId="22" xfId="0" applyFont="1" applyFill="1" applyBorder="1" applyAlignment="1">
      <alignment horizontal="center"/>
    </xf>
    <xf numFmtId="0" fontId="0" fillId="15" borderId="23" xfId="0" applyFill="1" applyBorder="1"/>
    <xf numFmtId="0" fontId="0" fillId="19" borderId="0" xfId="0" applyFill="1"/>
    <xf numFmtId="0" fontId="0" fillId="19" borderId="0" xfId="0" applyFill="1" applyAlignment="1">
      <alignment horizontal="center"/>
    </xf>
    <xf numFmtId="0" fontId="4" fillId="0" borderId="15" xfId="0" applyFont="1" applyBorder="1"/>
    <xf numFmtId="0" fontId="16" fillId="0" borderId="1" xfId="0" applyFont="1" applyBorder="1"/>
    <xf numFmtId="0" fontId="35" fillId="0" borderId="1" xfId="0" applyFont="1" applyBorder="1"/>
    <xf numFmtId="0" fontId="34" fillId="0" borderId="1" xfId="0" applyFont="1" applyBorder="1"/>
    <xf numFmtId="0" fontId="16" fillId="8" borderId="1" xfId="0" applyFont="1" applyFill="1" applyBorder="1"/>
    <xf numFmtId="0" fontId="14" fillId="0" borderId="1" xfId="0" applyFont="1" applyBorder="1" applyAlignment="1">
      <alignment horizontal="center" vertical="center"/>
    </xf>
    <xf numFmtId="165" fontId="14" fillId="0" borderId="1" xfId="0" applyNumberFormat="1" applyFont="1" applyBorder="1"/>
    <xf numFmtId="15" fontId="14" fillId="0" borderId="1" xfId="0" applyNumberFormat="1" applyFont="1" applyBorder="1"/>
    <xf numFmtId="0" fontId="14" fillId="8" borderId="1" xfId="0" applyFont="1" applyFill="1" applyBorder="1"/>
    <xf numFmtId="0" fontId="14" fillId="8" borderId="1" xfId="0" applyFont="1" applyFill="1" applyBorder="1" applyAlignment="1">
      <alignment horizontal="center" vertical="center"/>
    </xf>
    <xf numFmtId="0" fontId="36" fillId="22" borderId="0" xfId="0" applyFont="1" applyFill="1" applyAlignment="1">
      <alignment horizontal="center" vertical="center"/>
    </xf>
    <xf numFmtId="0" fontId="36" fillId="22" borderId="27" xfId="0" applyFont="1" applyFill="1" applyBorder="1" applyAlignment="1">
      <alignment horizontal="center" vertical="center"/>
    </xf>
    <xf numFmtId="0" fontId="36" fillId="22" borderId="0" xfId="0" applyFont="1" applyFill="1" applyAlignment="1">
      <alignment horizontal="center" vertical="center" wrapText="1"/>
    </xf>
    <xf numFmtId="0" fontId="7" fillId="0" borderId="1" xfId="0" applyFont="1" applyBorder="1" applyAlignment="1">
      <alignment horizontal="center"/>
    </xf>
    <xf numFmtId="0" fontId="16" fillId="0" borderId="1" xfId="0" applyFont="1" applyBorder="1" applyAlignment="1">
      <alignment horizontal="center"/>
    </xf>
    <xf numFmtId="0" fontId="16" fillId="0" borderId="1" xfId="0" applyFont="1" applyBorder="1" applyAlignment="1">
      <alignment horizontal="left"/>
    </xf>
    <xf numFmtId="0" fontId="7" fillId="0" borderId="0" xfId="0" applyFont="1" applyAlignment="1">
      <alignment vertical="center"/>
    </xf>
    <xf numFmtId="0" fontId="8" fillId="0" borderId="0" xfId="0" applyFont="1" applyAlignment="1">
      <alignment vertical="center"/>
    </xf>
    <xf numFmtId="0" fontId="8" fillId="0" borderId="0" xfId="0" applyFont="1" applyAlignment="1">
      <alignment horizontal="right" vertical="center"/>
    </xf>
    <xf numFmtId="15" fontId="8" fillId="0" borderId="0" xfId="0" applyNumberFormat="1" applyFont="1" applyAlignment="1">
      <alignment horizontal="right" vertical="center"/>
    </xf>
    <xf numFmtId="0" fontId="2" fillId="0" borderId="1" xfId="1" applyBorder="1" applyAlignment="1">
      <alignment vertical="center" wrapText="1"/>
    </xf>
    <xf numFmtId="0" fontId="37" fillId="0" borderId="0" xfId="0" applyFont="1"/>
    <xf numFmtId="0" fontId="38" fillId="0" borderId="0" xfId="0" applyFont="1"/>
    <xf numFmtId="0" fontId="4" fillId="16" borderId="1" xfId="0" applyFont="1" applyFill="1" applyBorder="1" applyAlignment="1">
      <alignment vertical="center" wrapText="1"/>
    </xf>
    <xf numFmtId="0" fontId="7" fillId="16" borderId="1" xfId="0" applyFont="1" applyFill="1" applyBorder="1" applyAlignment="1">
      <alignment vertical="center" wrapText="1"/>
    </xf>
    <xf numFmtId="0" fontId="7" fillId="16" borderId="1" xfId="0" applyFont="1" applyFill="1" applyBorder="1" applyAlignment="1">
      <alignment horizontal="center" vertical="center" wrapText="1"/>
    </xf>
    <xf numFmtId="0" fontId="7"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8" fillId="0" borderId="0" xfId="0" applyFont="1" applyAlignment="1">
      <alignment vertical="center" wrapText="1"/>
    </xf>
    <xf numFmtId="0" fontId="8" fillId="0" borderId="0" xfId="0" applyFont="1" applyAlignment="1">
      <alignment horizontal="center" vertical="center" wrapText="1"/>
    </xf>
    <xf numFmtId="16" fontId="14" fillId="0" borderId="0" xfId="0" applyNumberFormat="1" applyFont="1" applyAlignment="1">
      <alignment wrapText="1"/>
    </xf>
    <xf numFmtId="0" fontId="0" fillId="0" borderId="0" xfId="0" applyAlignment="1">
      <alignment horizontal="left"/>
    </xf>
    <xf numFmtId="16" fontId="14" fillId="0" borderId="0" xfId="0" applyNumberFormat="1" applyFont="1" applyAlignment="1">
      <alignment vertical="top" wrapText="1"/>
    </xf>
    <xf numFmtId="0" fontId="39" fillId="0" borderId="0" xfId="0" applyFont="1"/>
    <xf numFmtId="0" fontId="40" fillId="0" borderId="0" xfId="0" applyFont="1"/>
    <xf numFmtId="0" fontId="0" fillId="15" borderId="1" xfId="0" applyFill="1" applyBorder="1" applyAlignment="1">
      <alignment horizontal="center" vertical="center"/>
    </xf>
    <xf numFmtId="15" fontId="0" fillId="0" borderId="0" xfId="0" applyNumberFormat="1" applyAlignment="1">
      <alignment wrapText="1"/>
    </xf>
    <xf numFmtId="0" fontId="42" fillId="0" borderId="0" xfId="0" applyFont="1" applyAlignment="1">
      <alignment vertical="center" wrapText="1"/>
    </xf>
    <xf numFmtId="0" fontId="42" fillId="0" borderId="0" xfId="0" applyFont="1" applyAlignment="1">
      <alignment vertical="center"/>
    </xf>
    <xf numFmtId="0" fontId="41" fillId="23" borderId="0" xfId="0" applyFont="1" applyFill="1" applyAlignment="1">
      <alignment vertical="center"/>
    </xf>
    <xf numFmtId="0" fontId="41" fillId="23" borderId="0" xfId="0" applyFont="1" applyFill="1" applyAlignment="1">
      <alignment vertical="center" wrapText="1"/>
    </xf>
    <xf numFmtId="16" fontId="43" fillId="0" borderId="0" xfId="0" applyNumberFormat="1" applyFont="1" applyAlignment="1">
      <alignment vertical="center" wrapText="1"/>
    </xf>
    <xf numFmtId="0" fontId="43" fillId="0" borderId="0" xfId="0" applyFont="1" applyAlignment="1">
      <alignment vertical="center" wrapText="1"/>
    </xf>
    <xf numFmtId="0" fontId="43" fillId="0" borderId="0" xfId="0" applyFont="1" applyAlignment="1">
      <alignment vertical="center"/>
    </xf>
    <xf numFmtId="0" fontId="42" fillId="0" borderId="0" xfId="0" applyFont="1" applyAlignment="1">
      <alignment horizontal="right" vertical="center"/>
    </xf>
    <xf numFmtId="0" fontId="41" fillId="19" borderId="0" xfId="0" applyFont="1" applyFill="1" applyAlignment="1">
      <alignment vertical="center"/>
    </xf>
    <xf numFmtId="0" fontId="41" fillId="19" borderId="0" xfId="0" applyFont="1" applyFill="1" applyAlignment="1">
      <alignment vertical="center" wrapText="1"/>
    </xf>
    <xf numFmtId="0" fontId="41" fillId="8" borderId="0" xfId="0" applyFont="1" applyFill="1" applyAlignment="1">
      <alignment vertical="center"/>
    </xf>
    <xf numFmtId="0" fontId="41" fillId="8" borderId="0" xfId="0" applyFont="1" applyFill="1" applyAlignment="1">
      <alignment vertical="center" wrapText="1"/>
    </xf>
    <xf numFmtId="0" fontId="41" fillId="24" borderId="0" xfId="0" applyFont="1" applyFill="1" applyAlignment="1">
      <alignment vertical="center"/>
    </xf>
    <xf numFmtId="0" fontId="41" fillId="24" borderId="0" xfId="0" applyFont="1" applyFill="1" applyAlignment="1">
      <alignment vertical="center" wrapText="1"/>
    </xf>
    <xf numFmtId="0" fontId="44" fillId="25" borderId="0" xfId="0" applyFont="1" applyFill="1" applyAlignment="1">
      <alignment vertical="center"/>
    </xf>
    <xf numFmtId="0" fontId="44" fillId="25" borderId="0" xfId="0" applyFont="1" applyFill="1" applyAlignment="1">
      <alignment vertical="center" wrapText="1"/>
    </xf>
    <xf numFmtId="0" fontId="45" fillId="0" borderId="0" xfId="0" applyFont="1" applyAlignment="1">
      <alignment vertical="center"/>
    </xf>
    <xf numFmtId="16" fontId="46" fillId="0" borderId="0" xfId="0" applyNumberFormat="1" applyFont="1" applyAlignment="1">
      <alignment vertical="center" wrapText="1"/>
    </xf>
    <xf numFmtId="0" fontId="46" fillId="0" borderId="0" xfId="0" applyFont="1" applyAlignment="1">
      <alignment vertical="center" wrapText="1"/>
    </xf>
    <xf numFmtId="0" fontId="46" fillId="0" borderId="0" xfId="0" applyFont="1" applyAlignment="1">
      <alignment vertical="center"/>
    </xf>
    <xf numFmtId="0" fontId="45" fillId="0" borderId="0" xfId="0" applyFont="1" applyAlignment="1">
      <alignment vertical="center" wrapText="1"/>
    </xf>
    <xf numFmtId="0" fontId="45" fillId="0" borderId="0" xfId="0" applyFont="1" applyAlignment="1">
      <alignment horizontal="right" vertical="center"/>
    </xf>
    <xf numFmtId="0" fontId="44" fillId="26" borderId="0" xfId="0" applyFont="1" applyFill="1" applyAlignment="1">
      <alignment vertical="center"/>
    </xf>
    <xf numFmtId="0" fontId="44" fillId="26" borderId="0" xfId="0" applyFont="1" applyFill="1" applyAlignment="1">
      <alignment vertical="center" wrapText="1"/>
    </xf>
    <xf numFmtId="0" fontId="42" fillId="27" borderId="0" xfId="0" applyFont="1" applyFill="1" applyAlignment="1">
      <alignment vertical="center" wrapText="1"/>
    </xf>
    <xf numFmtId="0" fontId="14" fillId="12" borderId="0" xfId="0" applyFont="1" applyFill="1" applyAlignment="1">
      <alignment vertical="top" wrapText="1"/>
    </xf>
    <xf numFmtId="0" fontId="0" fillId="12" borderId="0" xfId="0" applyFill="1" applyAlignment="1">
      <alignment wrapText="1"/>
    </xf>
    <xf numFmtId="0" fontId="9" fillId="0" borderId="0" xfId="0" applyFont="1" applyAlignment="1">
      <alignment horizontal="center" vertical="top" wrapText="1"/>
    </xf>
    <xf numFmtId="0" fontId="4" fillId="0" borderId="0" xfId="0" applyFont="1" applyAlignment="1">
      <alignment vertical="top" wrapText="1"/>
    </xf>
    <xf numFmtId="0" fontId="0" fillId="0" borderId="0" xfId="0" applyAlignment="1">
      <alignment vertical="top" wrapText="1"/>
    </xf>
    <xf numFmtId="16" fontId="0" fillId="0" borderId="0" xfId="0" applyNumberFormat="1" applyAlignment="1">
      <alignment vertical="top" wrapText="1"/>
    </xf>
    <xf numFmtId="16" fontId="33" fillId="0" borderId="0" xfId="0" applyNumberFormat="1" applyFont="1" applyAlignment="1">
      <alignment vertical="top" wrapText="1"/>
    </xf>
    <xf numFmtId="0" fontId="47" fillId="0" borderId="0" xfId="0" applyFont="1"/>
    <xf numFmtId="0" fontId="48" fillId="0" borderId="0" xfId="0" applyFont="1"/>
    <xf numFmtId="0" fontId="47" fillId="0" borderId="0" xfId="0" applyFont="1" applyAlignment="1">
      <alignment wrapText="1"/>
    </xf>
    <xf numFmtId="0" fontId="22" fillId="9" borderId="1" xfId="0" applyFont="1" applyFill="1" applyBorder="1" applyAlignment="1">
      <alignment horizontal="center" vertical="center"/>
    </xf>
    <xf numFmtId="165" fontId="22" fillId="0" borderId="0" xfId="0" applyNumberFormat="1" applyFont="1"/>
    <xf numFmtId="0" fontId="2" fillId="0" borderId="0" xfId="1" applyBorder="1" applyAlignment="1">
      <alignment wrapText="1"/>
    </xf>
    <xf numFmtId="0" fontId="14" fillId="10" borderId="0" xfId="0" applyFont="1" applyFill="1"/>
    <xf numFmtId="0" fontId="14" fillId="0" borderId="0" xfId="0" applyFont="1" applyAlignment="1">
      <alignment horizontal="right"/>
    </xf>
    <xf numFmtId="0" fontId="14" fillId="15" borderId="1" xfId="0" applyFont="1" applyFill="1" applyBorder="1"/>
    <xf numFmtId="0" fontId="5" fillId="3" borderId="0" xfId="0" applyFont="1" applyFill="1" applyAlignment="1">
      <alignment wrapText="1"/>
    </xf>
    <xf numFmtId="0" fontId="5" fillId="0" borderId="0" xfId="0" applyFont="1" applyAlignment="1">
      <alignment wrapText="1"/>
    </xf>
    <xf numFmtId="16" fontId="4" fillId="0" borderId="0" xfId="0" applyNumberFormat="1" applyFont="1" applyAlignment="1">
      <alignment wrapText="1"/>
    </xf>
    <xf numFmtId="0" fontId="14" fillId="11" borderId="0" xfId="0" applyFont="1" applyFill="1"/>
    <xf numFmtId="0" fontId="16" fillId="11" borderId="1" xfId="0" applyFont="1" applyFill="1" applyBorder="1"/>
    <xf numFmtId="0" fontId="14" fillId="11" borderId="1" xfId="0" applyFont="1" applyFill="1" applyBorder="1"/>
    <xf numFmtId="0" fontId="14" fillId="11" borderId="1" xfId="0" applyFont="1" applyFill="1" applyBorder="1" applyAlignment="1">
      <alignment horizontal="center" vertical="center"/>
    </xf>
    <xf numFmtId="165" fontId="14" fillId="11" borderId="1" xfId="0" applyNumberFormat="1" applyFont="1" applyFill="1" applyBorder="1"/>
    <xf numFmtId="15" fontId="14" fillId="11" borderId="1" xfId="0" applyNumberFormat="1" applyFont="1" applyFill="1" applyBorder="1"/>
    <xf numFmtId="0" fontId="0" fillId="0" borderId="0" xfId="0" applyAlignment="1">
      <alignment horizontal="center"/>
    </xf>
    <xf numFmtId="0" fontId="49" fillId="0" borderId="0" xfId="0" applyFont="1"/>
    <xf numFmtId="0" fontId="22" fillId="0" borderId="8" xfId="0" applyFont="1" applyBorder="1" applyAlignment="1">
      <alignment vertical="center"/>
    </xf>
    <xf numFmtId="0" fontId="22" fillId="0" borderId="8" xfId="0" applyFont="1" applyBorder="1" applyAlignment="1">
      <alignment horizontal="center" vertical="center"/>
    </xf>
    <xf numFmtId="165" fontId="22" fillId="0" borderId="8" xfId="0" applyNumberFormat="1" applyFont="1" applyBorder="1" applyAlignment="1">
      <alignment vertical="center"/>
    </xf>
    <xf numFmtId="0" fontId="22" fillId="0" borderId="8" xfId="0" applyFont="1" applyBorder="1" applyAlignment="1">
      <alignment vertical="center" wrapText="1"/>
    </xf>
    <xf numFmtId="0" fontId="22" fillId="0" borderId="15" xfId="0" applyFont="1" applyBorder="1"/>
    <xf numFmtId="0" fontId="22" fillId="2" borderId="15" xfId="0" applyFont="1" applyFill="1" applyBorder="1"/>
    <xf numFmtId="16" fontId="0" fillId="0" borderId="0" xfId="0" applyNumberFormat="1" applyAlignment="1">
      <alignment horizontal="center"/>
    </xf>
    <xf numFmtId="0" fontId="0" fillId="2" borderId="0" xfId="0" applyFill="1" applyAlignment="1">
      <alignment horizontal="center"/>
    </xf>
    <xf numFmtId="0" fontId="50" fillId="0" borderId="0" xfId="0" applyFont="1"/>
    <xf numFmtId="0" fontId="51" fillId="0" borderId="0" xfId="0" applyFont="1"/>
    <xf numFmtId="16" fontId="33" fillId="0" borderId="0" xfId="0" applyNumberFormat="1" applyFont="1" applyAlignment="1">
      <alignment wrapText="1"/>
    </xf>
    <xf numFmtId="0" fontId="4" fillId="0" borderId="26" xfId="0" applyFont="1" applyBorder="1"/>
    <xf numFmtId="0" fontId="0" fillId="15" borderId="28" xfId="0" applyFill="1" applyBorder="1"/>
    <xf numFmtId="0" fontId="22" fillId="5" borderId="1" xfId="0" applyFont="1" applyFill="1" applyBorder="1" applyAlignment="1">
      <alignment horizontal="left" vertical="center" wrapText="1"/>
    </xf>
    <xf numFmtId="0" fontId="22" fillId="13" borderId="1" xfId="0" applyFont="1" applyFill="1" applyBorder="1" applyAlignment="1">
      <alignment vertical="center" wrapText="1"/>
    </xf>
    <xf numFmtId="0" fontId="22" fillId="9" borderId="1" xfId="0" applyFont="1" applyFill="1" applyBorder="1" applyAlignment="1">
      <alignment vertical="center" wrapText="1"/>
    </xf>
    <xf numFmtId="0" fontId="22" fillId="11" borderId="1" xfId="0" applyFont="1" applyFill="1" applyBorder="1" applyAlignment="1">
      <alignment vertical="center" wrapText="1"/>
    </xf>
    <xf numFmtId="0" fontId="22" fillId="8" borderId="1" xfId="0" applyFont="1" applyFill="1" applyBorder="1" applyAlignment="1">
      <alignment vertical="center" wrapText="1"/>
    </xf>
    <xf numFmtId="0" fontId="2" fillId="0" borderId="1" xfId="1" applyFill="1" applyBorder="1" applyAlignment="1">
      <alignment vertical="center" wrapText="1"/>
    </xf>
    <xf numFmtId="0" fontId="23" fillId="0" borderId="1" xfId="1" applyFont="1" applyFill="1" applyBorder="1" applyAlignment="1">
      <alignment vertical="center" wrapText="1"/>
    </xf>
    <xf numFmtId="0" fontId="22" fillId="0" borderId="0" xfId="0" applyFont="1" applyAlignment="1">
      <alignment wrapText="1"/>
    </xf>
    <xf numFmtId="0" fontId="23" fillId="2" borderId="1" xfId="1" applyFont="1" applyFill="1" applyBorder="1" applyAlignment="1">
      <alignment vertical="center" wrapText="1"/>
    </xf>
    <xf numFmtId="167" fontId="0" fillId="0" borderId="0" xfId="0" applyNumberFormat="1"/>
    <xf numFmtId="17" fontId="4" fillId="0" borderId="1" xfId="0" applyNumberFormat="1" applyFont="1" applyBorder="1"/>
    <xf numFmtId="17" fontId="4" fillId="0" borderId="1" xfId="0" applyNumberFormat="1" applyFont="1" applyBorder="1" applyAlignment="1">
      <alignment horizontal="center"/>
    </xf>
    <xf numFmtId="167" fontId="0" fillId="0" borderId="1" xfId="0" applyNumberFormat="1" applyBorder="1"/>
    <xf numFmtId="0" fontId="0" fillId="21" borderId="1" xfId="0" applyFill="1" applyBorder="1"/>
    <xf numFmtId="0" fontId="0" fillId="28" borderId="1" xfId="0" applyFill="1" applyBorder="1"/>
    <xf numFmtId="0" fontId="0" fillId="8" borderId="1" xfId="0" applyFill="1" applyBorder="1"/>
    <xf numFmtId="0" fontId="0" fillId="29" borderId="1" xfId="0" applyFill="1" applyBorder="1"/>
    <xf numFmtId="0" fontId="0" fillId="30" borderId="1" xfId="0" applyFill="1" applyBorder="1"/>
    <xf numFmtId="0" fontId="5" fillId="7" borderId="0" xfId="0" applyFont="1" applyFill="1" applyAlignment="1">
      <alignment wrapText="1"/>
    </xf>
    <xf numFmtId="16" fontId="0" fillId="0" borderId="0" xfId="0" applyNumberFormat="1" applyAlignment="1">
      <alignment vertical="top"/>
    </xf>
    <xf numFmtId="0" fontId="5" fillId="0" borderId="0" xfId="0" applyFont="1" applyAlignment="1">
      <alignment vertical="top" wrapText="1"/>
    </xf>
    <xf numFmtId="0" fontId="0" fillId="0" borderId="0" xfId="0" applyAlignment="1">
      <alignment vertical="top"/>
    </xf>
    <xf numFmtId="0" fontId="3" fillId="0" borderId="0" xfId="0" applyFont="1" applyAlignment="1">
      <alignment vertical="top" wrapText="1"/>
    </xf>
    <xf numFmtId="16" fontId="0" fillId="0" borderId="0" xfId="0" applyNumberFormat="1" applyAlignment="1">
      <alignment horizontal="center" vertical="center"/>
    </xf>
    <xf numFmtId="0" fontId="5" fillId="0" borderId="0" xfId="0" applyFont="1" applyAlignment="1">
      <alignment horizontal="center" vertical="center"/>
    </xf>
    <xf numFmtId="0" fontId="3" fillId="0" borderId="0" xfId="0" applyFont="1" applyAlignment="1">
      <alignment horizontal="center" vertical="center"/>
    </xf>
    <xf numFmtId="165" fontId="22" fillId="8" borderId="1" xfId="0" applyNumberFormat="1" applyFont="1" applyFill="1" applyBorder="1" applyAlignment="1">
      <alignment vertical="center" wrapText="1"/>
    </xf>
    <xf numFmtId="0" fontId="22" fillId="5"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2" fillId="5" borderId="1" xfId="0" applyFont="1" applyFill="1" applyBorder="1" applyAlignment="1">
      <alignment wrapText="1"/>
    </xf>
    <xf numFmtId="165" fontId="22" fillId="5" borderId="1" xfId="0" applyNumberFormat="1" applyFont="1" applyFill="1" applyBorder="1" applyAlignment="1">
      <alignment vertical="center" wrapText="1"/>
    </xf>
    <xf numFmtId="14" fontId="22" fillId="0" borderId="1" xfId="0" applyNumberFormat="1" applyFont="1" applyBorder="1" applyAlignment="1">
      <alignment vertical="center"/>
    </xf>
    <xf numFmtId="1" fontId="22" fillId="5" borderId="1" xfId="0" applyNumberFormat="1" applyFont="1" applyFill="1" applyBorder="1" applyAlignment="1">
      <alignment horizontal="left" vertical="center"/>
    </xf>
    <xf numFmtId="1" fontId="22" fillId="5" borderId="1" xfId="0" applyNumberFormat="1" applyFont="1" applyFill="1" applyBorder="1" applyAlignment="1">
      <alignment vertical="center" wrapText="1"/>
    </xf>
    <xf numFmtId="1" fontId="22" fillId="0" borderId="8" xfId="0" applyNumberFormat="1" applyFont="1" applyBorder="1" applyAlignment="1">
      <alignment vertical="center"/>
    </xf>
    <xf numFmtId="1" fontId="22" fillId="11" borderId="1" xfId="0" applyNumberFormat="1" applyFont="1" applyFill="1" applyBorder="1" applyAlignment="1">
      <alignment vertical="center"/>
    </xf>
    <xf numFmtId="1" fontId="22" fillId="0" borderId="1" xfId="0" applyNumberFormat="1" applyFont="1" applyBorder="1"/>
    <xf numFmtId="1" fontId="22" fillId="9" borderId="1" xfId="0" applyNumberFormat="1" applyFont="1" applyFill="1" applyBorder="1" applyAlignment="1">
      <alignment vertical="center"/>
    </xf>
    <xf numFmtId="1" fontId="22" fillId="0" borderId="4" xfId="0" applyNumberFormat="1" applyFont="1" applyBorder="1" applyAlignment="1">
      <alignment vertical="center"/>
    </xf>
    <xf numFmtId="1" fontId="24" fillId="0" borderId="1" xfId="0" applyNumberFormat="1" applyFont="1" applyBorder="1" applyAlignment="1">
      <alignment vertical="center"/>
    </xf>
    <xf numFmtId="1" fontId="22" fillId="10" borderId="1" xfId="0" applyNumberFormat="1" applyFont="1" applyFill="1" applyBorder="1" applyAlignment="1">
      <alignment vertical="center"/>
    </xf>
    <xf numFmtId="1" fontId="22" fillId="2" borderId="1" xfId="0" applyNumberFormat="1" applyFont="1" applyFill="1" applyBorder="1" applyAlignment="1">
      <alignment vertical="center"/>
    </xf>
    <xf numFmtId="1" fontId="22" fillId="8" borderId="1" xfId="0" applyNumberFormat="1" applyFont="1" applyFill="1" applyBorder="1" applyAlignment="1">
      <alignment vertical="center"/>
    </xf>
    <xf numFmtId="1" fontId="22" fillId="12" borderId="1" xfId="0" applyNumberFormat="1" applyFont="1" applyFill="1" applyBorder="1" applyAlignment="1">
      <alignment vertical="center"/>
    </xf>
    <xf numFmtId="1" fontId="22" fillId="0" borderId="0" xfId="0" applyNumberFormat="1" applyFont="1"/>
    <xf numFmtId="1" fontId="22" fillId="0" borderId="0" xfId="0" applyNumberFormat="1" applyFont="1" applyAlignment="1">
      <alignment vertical="center"/>
    </xf>
    <xf numFmtId="0" fontId="22" fillId="28" borderId="1" xfId="0" applyFont="1" applyFill="1" applyBorder="1" applyAlignment="1">
      <alignment vertical="center" wrapText="1"/>
    </xf>
    <xf numFmtId="0" fontId="52" fillId="0" borderId="0" xfId="0" applyFont="1" applyAlignment="1">
      <alignment wrapText="1"/>
    </xf>
    <xf numFmtId="0" fontId="53" fillId="0" borderId="1" xfId="0" applyFont="1" applyBorder="1" applyAlignment="1">
      <alignment vertical="center" wrapText="1"/>
    </xf>
    <xf numFmtId="0" fontId="1" fillId="0" borderId="1" xfId="0" applyFont="1" applyBorder="1" applyAlignment="1">
      <alignment wrapText="1"/>
    </xf>
    <xf numFmtId="0" fontId="53" fillId="0" borderId="1" xfId="0" applyFont="1" applyBorder="1" applyAlignment="1">
      <alignment wrapText="1"/>
    </xf>
    <xf numFmtId="0" fontId="0" fillId="0" borderId="1" xfId="0" applyBorder="1" applyAlignment="1">
      <alignment horizontal="right" wrapText="1"/>
    </xf>
    <xf numFmtId="0" fontId="4" fillId="0" borderId="1" xfId="0" applyFont="1" applyBorder="1" applyAlignment="1">
      <alignment horizontal="center" vertical="center" wrapText="1"/>
    </xf>
    <xf numFmtId="0" fontId="27" fillId="31" borderId="1" xfId="0" applyFont="1" applyFill="1" applyBorder="1" applyAlignment="1">
      <alignment horizontal="center" vertical="center" wrapText="1"/>
    </xf>
    <xf numFmtId="0" fontId="0" fillId="0" borderId="1" xfId="0" applyBorder="1" applyAlignment="1">
      <alignment horizontal="center" vertical="center" wrapText="1"/>
    </xf>
    <xf numFmtId="0" fontId="22" fillId="13" borderId="0" xfId="0" applyFont="1" applyFill="1" applyAlignment="1">
      <alignment vertical="center" wrapText="1"/>
    </xf>
    <xf numFmtId="0" fontId="23" fillId="0" borderId="8" xfId="1" applyFont="1" applyBorder="1" applyAlignment="1">
      <alignment vertical="center"/>
    </xf>
    <xf numFmtId="16" fontId="22" fillId="0" borderId="8" xfId="0" applyNumberFormat="1" applyFont="1" applyBorder="1" applyAlignment="1">
      <alignment vertical="center"/>
    </xf>
    <xf numFmtId="165" fontId="22" fillId="0" borderId="4" xfId="0" applyNumberFormat="1" applyFont="1" applyBorder="1"/>
    <xf numFmtId="165" fontId="22" fillId="11" borderId="4" xfId="0" applyNumberFormat="1" applyFont="1" applyFill="1" applyBorder="1" applyAlignment="1">
      <alignment vertical="center"/>
    </xf>
    <xf numFmtId="1" fontId="22" fillId="11" borderId="4" xfId="0" applyNumberFormat="1" applyFont="1" applyFill="1" applyBorder="1" applyAlignment="1">
      <alignment vertical="center"/>
    </xf>
    <xf numFmtId="0" fontId="23" fillId="0" borderId="8" xfId="1" applyFont="1" applyFill="1" applyBorder="1" applyAlignment="1">
      <alignment vertical="center"/>
    </xf>
    <xf numFmtId="0" fontId="22" fillId="9" borderId="0" xfId="0" applyFont="1" applyFill="1" applyAlignment="1">
      <alignment horizontal="center" vertical="center"/>
    </xf>
    <xf numFmtId="0" fontId="23" fillId="0" borderId="0" xfId="1" applyFont="1" applyFill="1" applyBorder="1" applyAlignment="1">
      <alignment vertical="center"/>
    </xf>
    <xf numFmtId="0" fontId="26" fillId="2" borderId="1" xfId="0" applyFont="1" applyFill="1" applyBorder="1" applyAlignment="1">
      <alignment vertical="center" wrapText="1"/>
    </xf>
    <xf numFmtId="0" fontId="22" fillId="13" borderId="4" xfId="0" applyFont="1" applyFill="1" applyBorder="1" applyAlignment="1">
      <alignment vertical="center" wrapText="1"/>
    </xf>
    <xf numFmtId="0" fontId="26" fillId="2" borderId="0" xfId="0" applyFont="1" applyFill="1" applyAlignment="1">
      <alignment vertical="center" wrapText="1"/>
    </xf>
    <xf numFmtId="0" fontId="22" fillId="2" borderId="15" xfId="0" applyFont="1" applyFill="1" applyBorder="1" applyAlignment="1">
      <alignment vertical="center" wrapText="1"/>
    </xf>
    <xf numFmtId="0" fontId="22" fillId="2" borderId="0" xfId="0" applyFont="1" applyFill="1" applyAlignment="1">
      <alignment vertical="center" wrapText="1"/>
    </xf>
    <xf numFmtId="165" fontId="22" fillId="11" borderId="8" xfId="0" applyNumberFormat="1" applyFont="1" applyFill="1" applyBorder="1" applyAlignment="1">
      <alignment vertical="center"/>
    </xf>
    <xf numFmtId="1" fontId="22" fillId="11" borderId="8" xfId="0" applyNumberFormat="1" applyFont="1" applyFill="1" applyBorder="1" applyAlignment="1">
      <alignment vertical="center"/>
    </xf>
    <xf numFmtId="0" fontId="22" fillId="9" borderId="1" xfId="0" applyFont="1" applyFill="1" applyBorder="1" applyAlignment="1">
      <alignment wrapText="1"/>
    </xf>
    <xf numFmtId="0" fontId="6" fillId="0" borderId="0" xfId="0" applyFont="1"/>
    <xf numFmtId="16" fontId="4" fillId="0" borderId="0" xfId="0" applyNumberFormat="1" applyFont="1"/>
    <xf numFmtId="0" fontId="2" fillId="26" borderId="0" xfId="1" applyFill="1"/>
    <xf numFmtId="0" fontId="22" fillId="5" borderId="1" xfId="0" applyFont="1" applyFill="1" applyBorder="1" applyAlignment="1">
      <alignment horizontal="left" vertical="center"/>
    </xf>
    <xf numFmtId="0" fontId="22" fillId="5" borderId="1" xfId="0" applyFont="1" applyFill="1" applyBorder="1" applyAlignment="1">
      <alignment horizontal="left"/>
    </xf>
    <xf numFmtId="0" fontId="42" fillId="0" borderId="0" xfId="0" applyFont="1" applyAlignment="1">
      <alignment horizontal="center" vertical="center" wrapText="1"/>
    </xf>
    <xf numFmtId="16" fontId="42" fillId="0" borderId="0" xfId="0" applyNumberFormat="1" applyFont="1" applyAlignment="1">
      <alignment horizontal="center" vertical="center" wrapText="1"/>
    </xf>
    <xf numFmtId="0" fontId="0" fillId="0" borderId="0" xfId="0" applyAlignment="1">
      <alignment horizontal="center"/>
    </xf>
    <xf numFmtId="0" fontId="22" fillId="5" borderId="1" xfId="0" applyFont="1" applyFill="1" applyBorder="1" applyAlignment="1">
      <alignment horizontal="left" vertical="center"/>
    </xf>
    <xf numFmtId="0" fontId="22" fillId="5" borderId="1" xfId="0" applyFont="1" applyFill="1" applyBorder="1" applyAlignment="1">
      <alignment horizontal="left"/>
    </xf>
    <xf numFmtId="0" fontId="53" fillId="0" borderId="1" xfId="0" applyFont="1" applyBorder="1" applyAlignment="1">
      <alignment horizontal="center" vertical="center" wrapText="1"/>
    </xf>
    <xf numFmtId="0" fontId="7" fillId="3" borderId="1" xfId="0" applyFont="1" applyFill="1" applyBorder="1" applyAlignment="1">
      <alignment horizontal="center" wrapText="1"/>
    </xf>
    <xf numFmtId="16" fontId="45" fillId="0" borderId="0" xfId="0" applyNumberFormat="1" applyFont="1" applyAlignment="1">
      <alignment horizontal="center" vertical="center" wrapText="1"/>
    </xf>
    <xf numFmtId="0" fontId="45" fillId="0" borderId="0" xfId="0" applyFont="1" applyAlignment="1">
      <alignment horizontal="center" vertical="center" wrapText="1"/>
    </xf>
    <xf numFmtId="16" fontId="42" fillId="0" borderId="0" xfId="0" applyNumberFormat="1" applyFont="1" applyAlignment="1">
      <alignment horizontal="center" vertical="center" wrapText="1"/>
    </xf>
    <xf numFmtId="0" fontId="42" fillId="0" borderId="0" xfId="0" applyFont="1" applyAlignment="1">
      <alignment horizontal="center" vertical="center" wrapText="1"/>
    </xf>
    <xf numFmtId="0" fontId="14" fillId="18" borderId="10" xfId="0" applyFont="1" applyFill="1" applyBorder="1" applyAlignment="1">
      <alignment horizontal="center"/>
    </xf>
    <xf numFmtId="0" fontId="14" fillId="18" borderId="24" xfId="0" applyFont="1" applyFill="1" applyBorder="1" applyAlignment="1">
      <alignment horizontal="center"/>
    </xf>
    <xf numFmtId="0" fontId="4" fillId="15" borderId="16" xfId="0" applyFont="1" applyFill="1" applyBorder="1" applyAlignment="1">
      <alignment horizontal="center"/>
    </xf>
    <xf numFmtId="0" fontId="4" fillId="15" borderId="10" xfId="0" applyFont="1" applyFill="1" applyBorder="1" applyAlignment="1">
      <alignment horizontal="center"/>
    </xf>
    <xf numFmtId="0" fontId="4" fillId="15" borderId="17" xfId="0" applyFont="1" applyFill="1" applyBorder="1" applyAlignment="1">
      <alignment horizontal="center"/>
    </xf>
    <xf numFmtId="0" fontId="4" fillId="0" borderId="10" xfId="0" applyFont="1" applyBorder="1" applyAlignment="1">
      <alignment horizontal="center"/>
    </xf>
    <xf numFmtId="0" fontId="4" fillId="21" borderId="25" xfId="0" applyFont="1" applyFill="1" applyBorder="1" applyAlignment="1">
      <alignment horizontal="center"/>
    </xf>
    <xf numFmtId="0" fontId="4" fillId="21" borderId="12" xfId="0" applyFont="1" applyFill="1" applyBorder="1" applyAlignment="1">
      <alignment horizontal="center"/>
    </xf>
    <xf numFmtId="0" fontId="4" fillId="0" borderId="9" xfId="0" applyFont="1" applyBorder="1" applyAlignment="1">
      <alignment horizontal="center"/>
    </xf>
    <xf numFmtId="0" fontId="4" fillId="15" borderId="11" xfId="0" applyFont="1" applyFill="1" applyBorder="1" applyAlignment="1">
      <alignment horizontal="center"/>
    </xf>
    <xf numFmtId="0" fontId="7" fillId="0" borderId="0" xfId="0" applyFont="1" applyAlignment="1">
      <alignment horizontal="left" vertical="center"/>
    </xf>
    <xf numFmtId="0" fontId="4" fillId="0" borderId="2" xfId="0" applyFont="1" applyBorder="1" applyAlignment="1">
      <alignment horizontal="left"/>
    </xf>
    <xf numFmtId="0" fontId="4" fillId="0" borderId="3" xfId="0" applyFont="1" applyBorder="1" applyAlignment="1">
      <alignment horizontal="left"/>
    </xf>
    <xf numFmtId="0" fontId="4" fillId="0" borderId="4" xfId="0" applyFont="1" applyBorder="1" applyAlignment="1">
      <alignment horizontal="left"/>
    </xf>
    <xf numFmtId="9" fontId="0" fillId="0" borderId="0" xfId="0" applyNumberFormat="1" applyAlignment="1">
      <alignment horizontal="center"/>
    </xf>
    <xf numFmtId="0" fontId="0" fillId="0" borderId="0" xfId="0" applyAlignment="1">
      <alignment horizontal="center"/>
    </xf>
  </cellXfs>
  <cellStyles count="2">
    <cellStyle name="Hyperlink" xfId="1" builtinId="8"/>
    <cellStyle name="Normal" xfId="0" builtinId="0"/>
  </cellStyles>
  <dxfs count="15">
    <dxf>
      <font>
        <color rgb="FF9C5700"/>
      </font>
      <fill>
        <patternFill>
          <bgColor rgb="FFFFEB9C"/>
        </patternFill>
      </fill>
    </dxf>
    <dxf>
      <font>
        <color rgb="FF9C5700"/>
      </font>
      <fill>
        <patternFill>
          <bgColor rgb="FFFFEB9C"/>
        </patternFill>
      </fill>
    </dxf>
    <dxf>
      <font>
        <b val="0"/>
        <i val="0"/>
        <strike val="0"/>
        <condense val="0"/>
        <extend val="0"/>
        <outline val="0"/>
        <shadow val="0"/>
        <u val="none"/>
        <vertAlign val="baseline"/>
        <sz val="11"/>
        <color theme="1"/>
        <name val="Calibri"/>
        <family val="2"/>
        <charset val="1"/>
        <scheme val="none"/>
      </font>
    </dxf>
    <dxf>
      <font>
        <b val="0"/>
        <i val="0"/>
        <strike val="0"/>
        <condense val="0"/>
        <extend val="0"/>
        <outline val="0"/>
        <shadow val="0"/>
        <u val="none"/>
        <vertAlign val="baseline"/>
        <sz val="11"/>
        <color theme="1"/>
        <name val="Calibri"/>
        <family val="2"/>
        <scheme val="none"/>
      </font>
    </dxf>
    <dxf>
      <fill>
        <patternFill patternType="solid">
          <fgColor indexed="64"/>
          <bgColor rgb="FFFFFF00"/>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rgb="FF9C5700"/>
      </font>
      <fill>
        <patternFill>
          <bgColor rgb="FFFFEB9C"/>
        </patternFill>
      </fill>
    </dxf>
    <dxf>
      <font>
        <color rgb="FF006100"/>
      </font>
      <fill>
        <patternFill>
          <bgColor rgb="FFC6EFCE"/>
        </patternFill>
      </fill>
    </dxf>
    <dxf>
      <border>
        <left style="thin">
          <color rgb="FF9C0006"/>
        </left>
        <right style="thin">
          <color rgb="FF9C0006"/>
        </right>
        <top style="thin">
          <color rgb="FF9C0006"/>
        </top>
        <bottom style="thin">
          <color rgb="FF9C0006"/>
        </bottom>
      </bord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1155700</xdr:colOff>
      <xdr:row>0</xdr:row>
      <xdr:rowOff>0</xdr:rowOff>
    </xdr:from>
    <xdr:to>
      <xdr:col>11</xdr:col>
      <xdr:colOff>1308100</xdr:colOff>
      <xdr:row>1</xdr:row>
      <xdr:rowOff>370764</xdr:rowOff>
    </xdr:to>
    <xdr:pic>
      <xdr:nvPicPr>
        <xdr:cNvPr id="2" name="Picture 1">
          <a:extLst>
            <a:ext uri="{FF2B5EF4-FFF2-40B4-BE49-F238E27FC236}">
              <a16:creationId xmlns:a16="http://schemas.microsoft.com/office/drawing/2014/main" id="{9FBE5198-6AAE-8F4F-CC8A-D0445C653C78}"/>
            </a:ext>
          </a:extLst>
        </xdr:cNvPr>
        <xdr:cNvPicPr>
          <a:picLocks noChangeAspect="1"/>
        </xdr:cNvPicPr>
      </xdr:nvPicPr>
      <xdr:blipFill>
        <a:blip xmlns:r="http://schemas.openxmlformats.org/officeDocument/2006/relationships" r:embed="rId1"/>
        <a:stretch>
          <a:fillRect/>
        </a:stretch>
      </xdr:blipFill>
      <xdr:spPr>
        <a:xfrm>
          <a:off x="13627100" y="0"/>
          <a:ext cx="1473200" cy="73906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ORAY MELHUISH" id="{080E8E9F-4080-1E4F-850D-E2ECCE89C6D6}" userId="e4419b9bceaed11b"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C2B866-021E-484D-B4E6-601B432482C5}" name="Table1" displayName="Table1" ref="A1:D17" totalsRowShown="0" headerRowDxfId="4">
  <autoFilter ref="A1:D17" xr:uid="{FEC2B866-021E-484D-B4E6-601B432482C5}"/>
  <tableColumns count="4">
    <tableColumn id="1" xr3:uid="{816D2A0F-EC5D-4970-B0FD-99D971B0AAA6}" name="ScotAi's Home Page Keywords" dataDxfId="3"/>
    <tableColumn id="2" xr3:uid="{C3903409-E392-46A9-9EB8-1298C09EC6C6}" name="mAint Keywords" dataDxfId="2"/>
    <tableColumn id="3" xr3:uid="{B45C9E29-CA68-47FB-901E-520005BD40A3}" name="mAint secure"/>
    <tableColumn id="4" xr3:uid="{C0DB67DB-D71B-4D92-A463-F7022DB8F0AD}" name="Kensi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3" dT="2025-04-15T09:11:49.04" personId="{080E8E9F-4080-1E4F-850D-E2ECCE89C6D6}" id="{3BC264FC-1E7B-CB40-B9E0-453059F3F68C}">
    <text xml:space="preserve">May exclude branded subsidiaries - some companies have multiple LI accounts.
</text>
  </threadedComment>
  <threadedComment ref="I9" dT="2025-04-15T09:16:39.58" personId="{080E8E9F-4080-1E4F-850D-E2ECCE89C6D6}" id="{45CBB003-8D55-664E-8EA4-7FD5A268DC8B}">
    <text xml:space="preserve">They have 185,000 employees worldwide.
</text>
  </threadedComment>
  <threadedComment ref="I14" dT="2025-04-15T09:12:21.02" personId="{080E8E9F-4080-1E4F-850D-E2ECCE89C6D6}" id="{BAD6D219-246B-7A41-A0FB-F409A7AC5647}">
    <text>They have 1000 laptops - must have multiple brands.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gudula.braun@worley.com.%20%20I've%20sent%20her%20a%20message%20to%20her%20LinkedIn.%20%2029%20sept%20-%20chased%20(LI).%20%2017%20Oct%20-%20she%20hasn&#8217;t%20responded%20to%20any%20of%20my%20messages%20so%20I've%20downgraded%20her.%20%20Don&#8217;t%20want%20to%20be%20a%20pest%20-%20but%20I%20emailed%20her%20anyway." TargetMode="External"/><Relationship Id="rId13" Type="http://schemas.openxmlformats.org/officeDocument/2006/relationships/hyperlink" Target="https://www.gov.uk/government/publications/market-exploration-modelling-and-monitoring-conflict-wounds/market-exploration-document-modelling-and-monitoring-conflict-wounds.%20%20Note%20that%20the%20application%20has%20no%20value%20-%20they'll%20be%20in%20touch%20if%20it's%20of%20interest." TargetMode="External"/><Relationship Id="rId3" Type="http://schemas.openxmlformats.org/officeDocument/2006/relationships/hyperlink" Target="mailto:Stefano.Spinosi@bakerhughes.com" TargetMode="External"/><Relationship Id="rId7" Type="http://schemas.openxmlformats.org/officeDocument/2006/relationships/hyperlink" Target="https://www.linkedin.com/in/ingeborg-d%C3%A5rflot-b419263/" TargetMode="External"/><Relationship Id="rId12" Type="http://schemas.openxmlformats.org/officeDocument/2006/relationships/hyperlink" Target="mailto:amit.kar@se.com" TargetMode="External"/><Relationship Id="rId2" Type="http://schemas.openxmlformats.org/officeDocument/2006/relationships/hyperlink" Target="mailto:Christopher.Gildroy@bisad.ae" TargetMode="External"/><Relationship Id="rId16" Type="http://schemas.microsoft.com/office/2017/10/relationships/threadedComment" Target="../threadedComments/threadedComment1.xml"/><Relationship Id="rId1" Type="http://schemas.openxmlformats.org/officeDocument/2006/relationships/hyperlink" Target="mailto:Ibrahim.Abuaisha@bakerhughes.com" TargetMode="External"/><Relationship Id="rId6" Type="http://schemas.openxmlformats.org/officeDocument/2006/relationships/hyperlink" Target="mailto:Rebecca.mcbain@sse.com" TargetMode="External"/><Relationship Id="rId11" Type="http://schemas.openxmlformats.org/officeDocument/2006/relationships/hyperlink" Target="mailto:shubham.rajvanshi@ltts.com" TargetMode="External"/><Relationship Id="rId5" Type="http://schemas.openxmlformats.org/officeDocument/2006/relationships/hyperlink" Target="https://www.linkedin.com/in/dan-haywood-721a9839/overlay/about-this-profile/?lipi=urn%3Ali%3Apage%3Ad_flagship3_profile_view_base%3BhrHjJcL0QEidDuxYAwILaA%3D%3D" TargetMode="External"/><Relationship Id="rId15" Type="http://schemas.openxmlformats.org/officeDocument/2006/relationships/comments" Target="../comments1.xml"/><Relationship Id="rId10" Type="http://schemas.openxmlformats.org/officeDocument/2006/relationships/hyperlink" Target="mailto:jochem.vanlith@shell.com" TargetMode="External"/><Relationship Id="rId4" Type="http://schemas.openxmlformats.org/officeDocument/2006/relationships/hyperlink" Target="mailto:Steve.Raffan@kciltd.co.uk" TargetMode="External"/><Relationship Id="rId9" Type="http://schemas.openxmlformats.org/officeDocument/2006/relationships/hyperlink" Target="mailto:ifragou@helpe.helleniq.gr.%20I%20emailed%2023/06%20and%2025/07,%20no%20response.%20%20Dead." TargetMode="External"/><Relationship Id="rId14"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8" Type="http://schemas.openxmlformats.org/officeDocument/2006/relationships/hyperlink" Target="mailto:Ryan@astormedia.co.uk" TargetMode="External"/><Relationship Id="rId13" Type="http://schemas.openxmlformats.org/officeDocument/2006/relationships/hyperlink" Target="https://www.heraldscotland.com/send-us-your-news/" TargetMode="External"/><Relationship Id="rId3" Type="http://schemas.openxmlformats.org/officeDocument/2006/relationships/hyperlink" Target="mailto:marketing@businessscotlandmagazine.com" TargetMode="External"/><Relationship Id="rId7" Type="http://schemas.openxmlformats.org/officeDocument/2006/relationships/hyperlink" Target="mailto:ellis.davies@emap.com" TargetMode="External"/><Relationship Id="rId12" Type="http://schemas.openxmlformats.org/officeDocument/2006/relationships/hyperlink" Target="mailto:bbcyourvoice@bbc.co.uk" TargetMode="External"/><Relationship Id="rId2" Type="http://schemas.openxmlformats.org/officeDocument/2006/relationships/hyperlink" Target="mailto:earlyline@mail.beehiiv.com" TargetMode="External"/><Relationship Id="rId16" Type="http://schemas.openxmlformats.org/officeDocument/2006/relationships/hyperlink" Target="mailto:scot.news@express.co.uk" TargetMode="External"/><Relationship Id="rId1" Type="http://schemas.openxmlformats.org/officeDocument/2006/relationships/hyperlink" Target="mailto:editorial@unionmedia.news" TargetMode="External"/><Relationship Id="rId6" Type="http://schemas.openxmlformats.org/officeDocument/2006/relationships/hyperlink" Target="mailto:fiona.dobie@jpimedia.co.uk" TargetMode="External"/><Relationship Id="rId11" Type="http://schemas.openxmlformats.org/officeDocument/2006/relationships/hyperlink" Target="mailto:editorial@cardealermagazine.co.uk" TargetMode="External"/><Relationship Id="rId5" Type="http://schemas.openxmlformats.org/officeDocument/2006/relationships/hyperlink" Target="mailto:newsdeskts@scotsman.com" TargetMode="External"/><Relationship Id="rId15" Type="http://schemas.openxmlformats.org/officeDocument/2006/relationships/hyperlink" Target="http://home.news@thetimes.co.uk" TargetMode="External"/><Relationship Id="rId10" Type="http://schemas.openxmlformats.org/officeDocument/2006/relationships/hyperlink" Target="mailto:editor@hrnetworkscotland.co.uk" TargetMode="External"/><Relationship Id="rId4" Type="http://schemas.openxmlformats.org/officeDocument/2006/relationships/hyperlink" Target="mailto:reporters@dailyrecord.co.uk" TargetMode="External"/><Relationship Id="rId9" Type="http://schemas.openxmlformats.org/officeDocument/2006/relationships/hyperlink" Target="mailto:news@thehrworld.co.uk" TargetMode="External"/><Relationship Id="rId14" Type="http://schemas.openxmlformats.org/officeDocument/2006/relationships/hyperlink" Target="mailto:newsen@edinburghnews.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3" Type="http://schemas.openxmlformats.org/officeDocument/2006/relationships/hyperlink" Target="https://www.linkedin.com/company/scotai/" TargetMode="External"/><Relationship Id="rId2" Type="http://schemas.openxmlformats.org/officeDocument/2006/relationships/hyperlink" Target="https://www.linkedin.com/company/scotai/" TargetMode="External"/><Relationship Id="rId1" Type="http://schemas.openxmlformats.org/officeDocument/2006/relationships/hyperlink" Target="https://www.linkedin.com/company/scotai/" TargetMode="External"/><Relationship Id="rId4" Type="http://schemas.openxmlformats.org/officeDocument/2006/relationships/hyperlink" Target="https://lnkd.in/d58wVFfK"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mailto:post@crescentpublishing.co.uk" TargetMode="External"/><Relationship Id="rId2" Type="http://schemas.openxmlformats.org/officeDocument/2006/relationships/hyperlink" Target="mailto:info@fcegroup.it" TargetMode="External"/><Relationship Id="rId1" Type="http://schemas.openxmlformats.org/officeDocument/2006/relationships/hyperlink" Target="mailto:jason.ford@markallengroup.com" TargetMode="External"/><Relationship Id="rId5" Type="http://schemas.openxmlformats.org/officeDocument/2006/relationships/hyperlink" Target="mailto:dale.miller@scotsman.com" TargetMode="External"/><Relationship Id="rId4" Type="http://schemas.openxmlformats.org/officeDocument/2006/relationships/hyperlink" Target="mailto:mark.selby@energyvoic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3317A-E324-B04E-85A5-6079B1C72C1E}">
  <sheetPr filterMode="1">
    <tabColor theme="8" tint="0.39997558519241921"/>
  </sheetPr>
  <dimension ref="A1:AH540"/>
  <sheetViews>
    <sheetView tabSelected="1" topLeftCell="Q1" zoomScale="87" workbookViewId="0">
      <pane ySplit="3" topLeftCell="A4" activePane="bottomLeft" state="frozen"/>
      <selection pane="bottomLeft" activeCell="A3" sqref="A3:XFD492"/>
    </sheetView>
  </sheetViews>
  <sheetFormatPr defaultColWidth="10.875" defaultRowHeight="18"/>
  <cols>
    <col min="1" max="1" width="29.875" style="91" customWidth="1"/>
    <col min="2" max="2" width="8" style="62" customWidth="1"/>
    <col min="3" max="3" width="9.625" style="89" customWidth="1"/>
    <col min="4" max="4" width="14.5" style="89" customWidth="1"/>
    <col min="5" max="5" width="4.875" style="89" hidden="1" customWidth="1"/>
    <col min="6" max="6" width="14.5" style="89" customWidth="1"/>
    <col min="7" max="7" width="8" style="62" customWidth="1"/>
    <col min="8" max="8" width="16.625" style="62" customWidth="1"/>
    <col min="9" max="9" width="16.625" style="62" hidden="1" customWidth="1"/>
    <col min="10" max="10" width="6.5" style="62" customWidth="1"/>
    <col min="11" max="11" width="7.5" style="62" customWidth="1"/>
    <col min="12" max="12" width="17.875" style="69" customWidth="1"/>
    <col min="13" max="13" width="13.125" style="69" hidden="1" customWidth="1"/>
    <col min="14" max="14" width="5.375" style="69" hidden="1" customWidth="1"/>
    <col min="15" max="15" width="18.875" style="69" hidden="1" customWidth="1"/>
    <col min="16" max="16" width="0.125" style="69" customWidth="1"/>
    <col min="17" max="17" width="15.375" style="90" customWidth="1"/>
    <col min="18" max="18" width="16" style="90" customWidth="1"/>
    <col min="19" max="20" width="9.125" style="90" customWidth="1"/>
    <col min="21" max="22" width="16.625" style="294" customWidth="1"/>
    <col min="23" max="23" width="135.375" style="91" customWidth="1"/>
    <col min="24" max="24" width="17.375" style="62" bestFit="1" customWidth="1"/>
    <col min="25" max="16384" width="10.875" style="62"/>
  </cols>
  <sheetData>
    <row r="1" spans="1:34">
      <c r="A1" s="329" t="s">
        <v>0</v>
      </c>
      <c r="B1" s="329"/>
      <c r="C1" s="329"/>
      <c r="D1" s="329"/>
      <c r="E1" s="329"/>
      <c r="F1" s="329"/>
      <c r="G1" s="329"/>
      <c r="H1" s="329"/>
      <c r="I1" s="329"/>
      <c r="J1" s="329"/>
      <c r="K1" s="329"/>
      <c r="L1" s="330"/>
      <c r="M1" s="330"/>
      <c r="N1" s="330"/>
      <c r="O1" s="330"/>
      <c r="P1" s="330"/>
      <c r="Q1" s="329"/>
      <c r="R1" s="329"/>
      <c r="S1" s="329"/>
      <c r="T1" s="329"/>
      <c r="U1" s="329"/>
      <c r="V1" s="329"/>
      <c r="W1" s="329"/>
      <c r="X1" s="61" t="s">
        <v>1</v>
      </c>
    </row>
    <row r="2" spans="1:34" ht="75.95">
      <c r="A2" s="249" t="s">
        <v>2</v>
      </c>
      <c r="B2" s="324"/>
      <c r="C2" s="324"/>
      <c r="D2" s="324"/>
      <c r="E2" s="324"/>
      <c r="F2" s="324"/>
      <c r="G2" s="324"/>
      <c r="H2" s="324"/>
      <c r="I2" s="324"/>
      <c r="J2" s="324"/>
      <c r="K2" s="324"/>
      <c r="L2" s="325"/>
      <c r="M2" s="325"/>
      <c r="N2" s="325"/>
      <c r="O2" s="325"/>
      <c r="P2" s="325"/>
      <c r="Q2" s="324"/>
      <c r="R2" s="324"/>
      <c r="S2" s="324"/>
      <c r="T2" s="324"/>
      <c r="U2" s="281"/>
      <c r="V2" s="281"/>
      <c r="W2" s="324"/>
      <c r="X2" s="61"/>
    </row>
    <row r="3" spans="1:34" s="91" customFormat="1" ht="92.1" customHeight="1">
      <c r="A3" s="63" t="s">
        <v>3</v>
      </c>
      <c r="B3" s="63" t="s">
        <v>4</v>
      </c>
      <c r="C3" s="276" t="s">
        <v>5</v>
      </c>
      <c r="D3" s="276" t="s">
        <v>6</v>
      </c>
      <c r="E3" s="276" t="s">
        <v>7</v>
      </c>
      <c r="F3" s="276" t="s">
        <v>8</v>
      </c>
      <c r="G3" s="63" t="s">
        <v>9</v>
      </c>
      <c r="H3" s="277" t="s">
        <v>10</v>
      </c>
      <c r="I3" s="63" t="s">
        <v>11</v>
      </c>
      <c r="J3" s="63" t="s">
        <v>12</v>
      </c>
      <c r="K3" s="63" t="s">
        <v>13</v>
      </c>
      <c r="L3" s="278" t="s">
        <v>14</v>
      </c>
      <c r="M3" s="278" t="s">
        <v>15</v>
      </c>
      <c r="N3" s="278" t="s">
        <v>16</v>
      </c>
      <c r="O3" s="278" t="s">
        <v>17</v>
      </c>
      <c r="P3" s="278" t="s">
        <v>18</v>
      </c>
      <c r="Q3" s="279" t="s">
        <v>19</v>
      </c>
      <c r="R3" s="279" t="s">
        <v>20</v>
      </c>
      <c r="S3" s="275" t="s">
        <v>21</v>
      </c>
      <c r="T3" s="275" t="s">
        <v>22</v>
      </c>
      <c r="U3" s="282" t="s">
        <v>23</v>
      </c>
      <c r="V3" s="282" t="s">
        <v>24</v>
      </c>
      <c r="W3" s="63" t="s">
        <v>25</v>
      </c>
      <c r="X3" s="63"/>
      <c r="AH3" s="91" t="s">
        <v>26</v>
      </c>
    </row>
    <row r="4" spans="1:34" s="69" customFormat="1" ht="249.95" customHeight="1">
      <c r="A4" s="77" t="s">
        <v>27</v>
      </c>
      <c r="B4" s="64" t="s">
        <v>26</v>
      </c>
      <c r="C4" s="65">
        <v>10</v>
      </c>
      <c r="D4" s="65" t="s">
        <v>28</v>
      </c>
      <c r="E4" s="65"/>
      <c r="F4" s="65" t="s">
        <v>29</v>
      </c>
      <c r="G4" s="64" t="s">
        <v>30</v>
      </c>
      <c r="H4" s="66" t="s">
        <v>31</v>
      </c>
      <c r="I4" s="66">
        <v>352</v>
      </c>
      <c r="J4" s="64" t="s">
        <v>32</v>
      </c>
      <c r="K4" s="64" t="s">
        <v>33</v>
      </c>
      <c r="L4" s="64" t="s">
        <v>34</v>
      </c>
      <c r="M4" s="64" t="s">
        <v>35</v>
      </c>
      <c r="N4" s="64" t="s">
        <v>36</v>
      </c>
      <c r="O4" s="64"/>
      <c r="P4" s="64"/>
      <c r="Q4" s="280">
        <v>45915</v>
      </c>
      <c r="R4" s="280">
        <f>Q4+7</f>
        <v>45922</v>
      </c>
      <c r="S4" s="67" t="s">
        <v>37</v>
      </c>
      <c r="T4" s="67"/>
      <c r="U4" s="98"/>
      <c r="V4" s="98">
        <f>SUM(T4*U4)</f>
        <v>0</v>
      </c>
      <c r="W4" s="68" t="s">
        <v>38</v>
      </c>
      <c r="X4" s="64"/>
      <c r="AH4" s="70" t="s">
        <v>39</v>
      </c>
    </row>
    <row r="5" spans="1:34" s="240" customFormat="1" ht="209.1">
      <c r="A5" s="316" t="s">
        <v>40</v>
      </c>
      <c r="B5" s="64" t="s">
        <v>26</v>
      </c>
      <c r="C5" s="65">
        <v>10</v>
      </c>
      <c r="D5" s="65" t="s">
        <v>41</v>
      </c>
      <c r="E5" s="65" t="s">
        <v>42</v>
      </c>
      <c r="F5" s="65" t="s">
        <v>43</v>
      </c>
      <c r="G5" s="64" t="s">
        <v>44</v>
      </c>
      <c r="H5" s="66" t="s">
        <v>45</v>
      </c>
      <c r="I5" s="66"/>
      <c r="J5" s="64" t="s">
        <v>32</v>
      </c>
      <c r="K5" s="64" t="s">
        <v>33</v>
      </c>
      <c r="L5" s="64" t="s">
        <v>46</v>
      </c>
      <c r="M5" s="64"/>
      <c r="N5" s="64"/>
      <c r="O5" s="64"/>
      <c r="P5" s="64"/>
      <c r="Q5" s="280">
        <v>45999</v>
      </c>
      <c r="R5" s="280">
        <f>Q5+7</f>
        <v>46006</v>
      </c>
      <c r="S5" s="67"/>
      <c r="T5" s="67"/>
      <c r="U5" s="98"/>
      <c r="V5" s="98"/>
      <c r="W5" s="68" t="s">
        <v>47</v>
      </c>
      <c r="X5" s="64"/>
      <c r="AH5" s="241" t="s">
        <v>48</v>
      </c>
    </row>
    <row r="6" spans="1:34" s="69" customFormat="1" ht="189.95">
      <c r="A6" s="314" t="s">
        <v>49</v>
      </c>
      <c r="B6" s="236" t="s">
        <v>26</v>
      </c>
      <c r="C6" s="237">
        <v>10</v>
      </c>
      <c r="D6" s="237" t="s">
        <v>50</v>
      </c>
      <c r="E6" s="237"/>
      <c r="F6" s="237"/>
      <c r="G6" s="236" t="s">
        <v>51</v>
      </c>
      <c r="H6" s="305" t="s">
        <v>52</v>
      </c>
      <c r="I6" s="305"/>
      <c r="J6" s="236" t="s">
        <v>32</v>
      </c>
      <c r="K6" s="236" t="s">
        <v>53</v>
      </c>
      <c r="L6" s="236" t="s">
        <v>54</v>
      </c>
      <c r="M6" s="236"/>
      <c r="N6" s="236"/>
      <c r="O6" s="306"/>
      <c r="P6" s="306"/>
      <c r="Q6" s="280">
        <v>45992</v>
      </c>
      <c r="R6" s="280">
        <f>Q6+7</f>
        <v>45999</v>
      </c>
      <c r="S6" s="238" t="s">
        <v>37</v>
      </c>
      <c r="T6" s="238"/>
      <c r="U6" s="283"/>
      <c r="V6" s="283"/>
      <c r="W6" s="239" t="s">
        <v>55</v>
      </c>
      <c r="X6" s="236"/>
      <c r="AH6" s="73"/>
    </row>
    <row r="7" spans="1:34" s="69" customFormat="1" ht="323.10000000000002">
      <c r="A7" s="315" t="s">
        <v>56</v>
      </c>
      <c r="B7" s="236" t="s">
        <v>26</v>
      </c>
      <c r="C7" s="237">
        <v>10</v>
      </c>
      <c r="D7" s="237" t="s">
        <v>57</v>
      </c>
      <c r="E7" s="237"/>
      <c r="F7" s="237" t="s">
        <v>58</v>
      </c>
      <c r="G7" s="236" t="s">
        <v>59</v>
      </c>
      <c r="H7" s="310" t="s">
        <v>60</v>
      </c>
      <c r="I7" s="310">
        <v>414</v>
      </c>
      <c r="J7" s="236" t="s">
        <v>61</v>
      </c>
      <c r="K7" s="236" t="s">
        <v>33</v>
      </c>
      <c r="L7" s="236" t="s">
        <v>62</v>
      </c>
      <c r="M7" s="236" t="s">
        <v>63</v>
      </c>
      <c r="N7" s="236" t="s">
        <v>64</v>
      </c>
      <c r="O7" s="236"/>
      <c r="P7" s="236"/>
      <c r="Q7" s="280">
        <v>45923</v>
      </c>
      <c r="R7" s="280">
        <f>Q7+7</f>
        <v>45930</v>
      </c>
      <c r="S7" s="238" t="s">
        <v>37</v>
      </c>
      <c r="T7" s="238"/>
      <c r="U7" s="283"/>
      <c r="V7" s="283"/>
      <c r="W7" s="239" t="s">
        <v>65</v>
      </c>
      <c r="X7" s="236"/>
      <c r="AH7" s="73"/>
    </row>
    <row r="8" spans="1:34" s="69" customFormat="1" ht="204" customHeight="1">
      <c r="A8" s="304" t="s">
        <v>66</v>
      </c>
      <c r="B8" s="236" t="s">
        <v>26</v>
      </c>
      <c r="C8" s="237">
        <v>10</v>
      </c>
      <c r="D8" s="237" t="s">
        <v>67</v>
      </c>
      <c r="E8" s="237"/>
      <c r="F8" s="237" t="s">
        <v>32</v>
      </c>
      <c r="G8" s="236" t="s">
        <v>68</v>
      </c>
      <c r="H8" s="305" t="s">
        <v>69</v>
      </c>
      <c r="I8" s="305">
        <v>8</v>
      </c>
      <c r="J8" s="236" t="s">
        <v>32</v>
      </c>
      <c r="K8" s="236" t="s">
        <v>70</v>
      </c>
      <c r="L8" s="236" t="s">
        <v>71</v>
      </c>
      <c r="M8" s="236" t="s">
        <v>72</v>
      </c>
      <c r="N8" s="236" t="s">
        <v>36</v>
      </c>
      <c r="O8" s="306">
        <v>45342</v>
      </c>
      <c r="P8" s="306">
        <v>45344</v>
      </c>
      <c r="Q8" s="280">
        <v>45923</v>
      </c>
      <c r="R8" s="280">
        <f>Q8+7</f>
        <v>45930</v>
      </c>
      <c r="S8" s="238"/>
      <c r="T8" s="238"/>
      <c r="U8" s="283"/>
      <c r="V8" s="283"/>
      <c r="W8" s="239" t="s">
        <v>73</v>
      </c>
      <c r="X8" s="236" t="s">
        <v>74</v>
      </c>
      <c r="AH8" s="73"/>
    </row>
    <row r="9" spans="1:34" s="69" customFormat="1" ht="204" customHeight="1">
      <c r="A9" s="317" t="s">
        <v>75</v>
      </c>
      <c r="B9" s="236" t="s">
        <v>39</v>
      </c>
      <c r="C9" s="237">
        <v>10</v>
      </c>
      <c r="D9" s="237" t="s">
        <v>76</v>
      </c>
      <c r="E9" s="237"/>
      <c r="F9" s="237" t="s">
        <v>77</v>
      </c>
      <c r="G9" s="236" t="s">
        <v>78</v>
      </c>
      <c r="H9" s="236" t="s">
        <v>79</v>
      </c>
      <c r="I9" s="236">
        <v>51222</v>
      </c>
      <c r="J9" s="236" t="s">
        <v>77</v>
      </c>
      <c r="K9" s="236" t="s">
        <v>33</v>
      </c>
      <c r="L9" s="236" t="s">
        <v>80</v>
      </c>
      <c r="M9" s="236" t="s">
        <v>81</v>
      </c>
      <c r="N9" s="236"/>
      <c r="O9" s="236"/>
      <c r="P9" s="236"/>
      <c r="Q9" s="280">
        <v>45981</v>
      </c>
      <c r="R9" s="280">
        <f>Q9+14</f>
        <v>45995</v>
      </c>
      <c r="S9" s="318" t="s">
        <v>82</v>
      </c>
      <c r="T9" s="318"/>
      <c r="U9" s="319">
        <v>165000</v>
      </c>
      <c r="V9" s="319"/>
      <c r="W9" s="239" t="s">
        <v>83</v>
      </c>
      <c r="X9" s="236"/>
      <c r="AH9" s="73"/>
    </row>
    <row r="10" spans="1:34" s="69" customFormat="1" ht="204" customHeight="1">
      <c r="A10" s="250" t="s">
        <v>84</v>
      </c>
      <c r="B10" s="64" t="s">
        <v>26</v>
      </c>
      <c r="C10" s="65">
        <v>10</v>
      </c>
      <c r="D10" s="65" t="s">
        <v>28</v>
      </c>
      <c r="E10" s="65"/>
      <c r="F10" s="65" t="s">
        <v>58</v>
      </c>
      <c r="G10" s="64"/>
      <c r="H10" s="66" t="s">
        <v>85</v>
      </c>
      <c r="I10" s="66">
        <v>165</v>
      </c>
      <c r="J10" s="64" t="s">
        <v>61</v>
      </c>
      <c r="K10" s="64" t="s">
        <v>33</v>
      </c>
      <c r="L10" s="64" t="s">
        <v>86</v>
      </c>
      <c r="M10" s="64"/>
      <c r="N10" s="64"/>
      <c r="O10" s="64"/>
      <c r="P10" s="64"/>
      <c r="Q10" s="280">
        <v>45985</v>
      </c>
      <c r="R10" s="280">
        <f>Q10+14</f>
        <v>45999</v>
      </c>
      <c r="S10" s="67" t="s">
        <v>37</v>
      </c>
      <c r="T10" s="67"/>
      <c r="U10" s="98"/>
      <c r="V10" s="98"/>
      <c r="W10" s="68" t="s">
        <v>87</v>
      </c>
      <c r="X10" s="64"/>
      <c r="AH10" s="73"/>
    </row>
    <row r="11" spans="1:34" s="69" customFormat="1" ht="204" customHeight="1">
      <c r="A11" s="250" t="s">
        <v>88</v>
      </c>
      <c r="B11" s="64" t="s">
        <v>26</v>
      </c>
      <c r="C11" s="65">
        <v>10</v>
      </c>
      <c r="D11" s="65" t="s">
        <v>28</v>
      </c>
      <c r="E11" s="65" t="s">
        <v>89</v>
      </c>
      <c r="F11" s="65" t="s">
        <v>32</v>
      </c>
      <c r="G11" s="64" t="s">
        <v>90</v>
      </c>
      <c r="H11" s="66" t="s">
        <v>91</v>
      </c>
      <c r="I11" s="66">
        <v>73</v>
      </c>
      <c r="J11" s="64" t="s">
        <v>32</v>
      </c>
      <c r="K11" s="64" t="s">
        <v>92</v>
      </c>
      <c r="L11" s="64" t="s">
        <v>46</v>
      </c>
      <c r="M11" s="64"/>
      <c r="N11" s="64"/>
      <c r="O11" s="72"/>
      <c r="P11" s="72"/>
      <c r="Q11" s="280">
        <v>45918</v>
      </c>
      <c r="R11" s="280">
        <f>Q11+19</f>
        <v>45937</v>
      </c>
      <c r="S11" s="67" t="s">
        <v>93</v>
      </c>
      <c r="T11" s="67"/>
      <c r="U11" s="98"/>
      <c r="V11" s="98"/>
      <c r="W11" s="68" t="s">
        <v>94</v>
      </c>
      <c r="X11" s="74"/>
      <c r="AH11" s="73"/>
    </row>
    <row r="12" spans="1:34" s="69" customFormat="1" ht="204" customHeight="1">
      <c r="A12" s="250" t="s">
        <v>95</v>
      </c>
      <c r="B12" s="64" t="s">
        <v>26</v>
      </c>
      <c r="C12" s="65">
        <v>10</v>
      </c>
      <c r="D12" s="64" t="s">
        <v>96</v>
      </c>
      <c r="E12" s="64"/>
      <c r="F12" s="64" t="s">
        <v>97</v>
      </c>
      <c r="G12" s="64" t="s">
        <v>98</v>
      </c>
      <c r="H12" s="64" t="s">
        <v>99</v>
      </c>
      <c r="I12" s="64">
        <v>341</v>
      </c>
      <c r="J12" s="64" t="s">
        <v>32</v>
      </c>
      <c r="K12" s="64" t="s">
        <v>33</v>
      </c>
      <c r="L12" s="64" t="s">
        <v>100</v>
      </c>
      <c r="M12" s="68" t="s">
        <v>101</v>
      </c>
      <c r="N12" s="64" t="s">
        <v>64</v>
      </c>
      <c r="O12" s="64"/>
      <c r="P12" s="64"/>
      <c r="Q12" s="280">
        <v>45931</v>
      </c>
      <c r="R12" s="280">
        <f>Q12+10</f>
        <v>45941</v>
      </c>
      <c r="S12" s="67"/>
      <c r="T12" s="67"/>
      <c r="U12" s="98">
        <v>5200</v>
      </c>
      <c r="V12" s="98"/>
      <c r="W12" s="68" t="s">
        <v>102</v>
      </c>
      <c r="X12" s="64"/>
      <c r="AH12" s="73"/>
    </row>
    <row r="13" spans="1:34" s="69" customFormat="1" ht="204" customHeight="1">
      <c r="A13" s="250" t="s">
        <v>103</v>
      </c>
      <c r="B13" s="64" t="s">
        <v>104</v>
      </c>
      <c r="C13" s="65">
        <v>10</v>
      </c>
      <c r="D13" s="65"/>
      <c r="E13" s="65"/>
      <c r="F13" s="65" t="s">
        <v>32</v>
      </c>
      <c r="G13" s="64" t="s">
        <v>105</v>
      </c>
      <c r="H13" s="64" t="s">
        <v>106</v>
      </c>
      <c r="I13" s="64"/>
      <c r="J13" s="64" t="s">
        <v>32</v>
      </c>
      <c r="K13" s="64" t="s">
        <v>33</v>
      </c>
      <c r="L13" s="64"/>
      <c r="M13" s="64"/>
      <c r="N13" s="64"/>
      <c r="O13" s="64"/>
      <c r="P13" s="64"/>
      <c r="Q13" s="280">
        <v>45924</v>
      </c>
      <c r="R13" s="280">
        <f>Q13+21</f>
        <v>45945</v>
      </c>
      <c r="S13" s="75" t="s">
        <v>37</v>
      </c>
      <c r="T13" s="75"/>
      <c r="U13" s="284"/>
      <c r="V13" s="284"/>
      <c r="W13" s="68" t="s">
        <v>107</v>
      </c>
      <c r="X13" s="64"/>
      <c r="AH13" s="73"/>
    </row>
    <row r="14" spans="1:34" s="69" customFormat="1" ht="204" customHeight="1">
      <c r="A14" s="313" t="s">
        <v>108</v>
      </c>
      <c r="B14" s="64" t="s">
        <v>26</v>
      </c>
      <c r="C14" s="65">
        <v>10</v>
      </c>
      <c r="D14" s="65" t="s">
        <v>28</v>
      </c>
      <c r="E14" s="65"/>
      <c r="F14" s="65" t="s">
        <v>32</v>
      </c>
      <c r="G14" s="64" t="s">
        <v>109</v>
      </c>
      <c r="H14" s="66" t="s">
        <v>110</v>
      </c>
      <c r="I14" s="66">
        <v>328</v>
      </c>
      <c r="J14" s="64" t="s">
        <v>32</v>
      </c>
      <c r="K14" s="64" t="s">
        <v>33</v>
      </c>
      <c r="L14" s="64" t="s">
        <v>111</v>
      </c>
      <c r="M14" s="64" t="s">
        <v>112</v>
      </c>
      <c r="N14" s="64" t="s">
        <v>64</v>
      </c>
      <c r="O14" s="64"/>
      <c r="P14" s="64"/>
      <c r="Q14" s="280">
        <v>45932</v>
      </c>
      <c r="R14" s="280">
        <f>Q14+14</f>
        <v>45946</v>
      </c>
      <c r="S14" s="67" t="s">
        <v>37</v>
      </c>
      <c r="T14" s="67"/>
      <c r="U14" s="98"/>
      <c r="V14" s="98"/>
      <c r="W14" s="68" t="s">
        <v>113</v>
      </c>
      <c r="X14" s="64"/>
      <c r="AH14" s="73"/>
    </row>
    <row r="15" spans="1:34" s="69" customFormat="1" ht="204" customHeight="1">
      <c r="A15" s="250" t="s">
        <v>114</v>
      </c>
      <c r="B15" s="64" t="s">
        <v>26</v>
      </c>
      <c r="C15" s="65">
        <v>10</v>
      </c>
      <c r="D15" s="65" t="s">
        <v>28</v>
      </c>
      <c r="E15" s="65"/>
      <c r="F15" s="65" t="s">
        <v>32</v>
      </c>
      <c r="G15" s="64"/>
      <c r="H15" s="66" t="s">
        <v>115</v>
      </c>
      <c r="I15" s="66"/>
      <c r="J15" s="64" t="s">
        <v>32</v>
      </c>
      <c r="K15" s="64" t="s">
        <v>33</v>
      </c>
      <c r="L15" s="64"/>
      <c r="M15" s="64"/>
      <c r="N15" s="64"/>
      <c r="O15" s="72"/>
      <c r="P15" s="72"/>
      <c r="Q15" s="280">
        <v>45889</v>
      </c>
      <c r="R15" s="280">
        <f>Q15+60</f>
        <v>45949</v>
      </c>
      <c r="S15" s="67"/>
      <c r="T15" s="67"/>
      <c r="U15" s="98">
        <v>5800</v>
      </c>
      <c r="V15" s="98"/>
      <c r="W15" s="68" t="s">
        <v>116</v>
      </c>
      <c r="X15" s="74"/>
      <c r="AH15" s="73"/>
    </row>
    <row r="16" spans="1:34" s="69" customFormat="1" ht="204" customHeight="1">
      <c r="A16" s="68" t="s">
        <v>117</v>
      </c>
      <c r="B16" s="64" t="s">
        <v>26</v>
      </c>
      <c r="C16" s="65">
        <v>10</v>
      </c>
      <c r="D16" s="65" t="s">
        <v>28</v>
      </c>
      <c r="E16" s="65"/>
      <c r="F16" s="65" t="s">
        <v>32</v>
      </c>
      <c r="G16" s="64" t="s">
        <v>118</v>
      </c>
      <c r="H16" s="64" t="s">
        <v>119</v>
      </c>
      <c r="I16" s="64">
        <v>2763</v>
      </c>
      <c r="J16" s="64" t="s">
        <v>32</v>
      </c>
      <c r="K16" s="64" t="s">
        <v>120</v>
      </c>
      <c r="L16" s="64" t="s">
        <v>71</v>
      </c>
      <c r="M16" s="64" t="s">
        <v>121</v>
      </c>
      <c r="N16" s="64" t="s">
        <v>42</v>
      </c>
      <c r="O16" s="64"/>
      <c r="P16" s="64"/>
      <c r="Q16" s="280">
        <v>45992</v>
      </c>
      <c r="R16" s="280">
        <f>Q16+7</f>
        <v>45999</v>
      </c>
      <c r="S16" s="67" t="s">
        <v>37</v>
      </c>
      <c r="T16" s="67"/>
      <c r="U16" s="98"/>
      <c r="V16" s="98"/>
      <c r="W16" s="68" t="s">
        <v>122</v>
      </c>
      <c r="X16" s="64"/>
      <c r="AH16" s="73"/>
    </row>
    <row r="17" spans="1:34" s="69" customFormat="1" ht="342">
      <c r="A17" s="63" t="s">
        <v>123</v>
      </c>
      <c r="B17" s="64" t="s">
        <v>26</v>
      </c>
      <c r="C17" s="65">
        <v>10</v>
      </c>
      <c r="D17" s="65" t="s">
        <v>28</v>
      </c>
      <c r="E17" s="65"/>
      <c r="F17" s="65" t="s">
        <v>124</v>
      </c>
      <c r="G17" s="64" t="s">
        <v>125</v>
      </c>
      <c r="H17" s="64" t="s">
        <v>126</v>
      </c>
      <c r="I17" s="64"/>
      <c r="J17" s="64" t="s">
        <v>77</v>
      </c>
      <c r="K17" s="64" t="s">
        <v>33</v>
      </c>
      <c r="L17" s="64" t="s">
        <v>127</v>
      </c>
      <c r="M17" s="64"/>
      <c r="N17" s="64"/>
      <c r="O17" s="64"/>
      <c r="P17" s="64"/>
      <c r="Q17" s="280">
        <v>45981</v>
      </c>
      <c r="R17" s="280">
        <f>Q17+7</f>
        <v>45988</v>
      </c>
      <c r="S17" s="67" t="s">
        <v>37</v>
      </c>
      <c r="T17" s="67"/>
      <c r="U17" s="98">
        <v>199947</v>
      </c>
      <c r="V17" s="98"/>
      <c r="W17" s="68" t="s">
        <v>128</v>
      </c>
      <c r="X17" s="64"/>
      <c r="AH17" s="73"/>
    </row>
    <row r="18" spans="1:34" s="69" customFormat="1" ht="409.6">
      <c r="A18" s="77" t="s">
        <v>129</v>
      </c>
      <c r="B18" s="64" t="s">
        <v>39</v>
      </c>
      <c r="C18" s="65">
        <v>10</v>
      </c>
      <c r="D18" s="65" t="s">
        <v>130</v>
      </c>
      <c r="E18" s="65"/>
      <c r="F18" s="65" t="s">
        <v>32</v>
      </c>
      <c r="G18" s="64" t="s">
        <v>131</v>
      </c>
      <c r="H18" s="64" t="s">
        <v>132</v>
      </c>
      <c r="I18" s="64"/>
      <c r="J18" s="64" t="s">
        <v>32</v>
      </c>
      <c r="K18" s="64" t="s">
        <v>133</v>
      </c>
      <c r="L18" s="64" t="s">
        <v>71</v>
      </c>
      <c r="M18" s="64" t="s">
        <v>134</v>
      </c>
      <c r="N18" s="64" t="s">
        <v>64</v>
      </c>
      <c r="O18" s="64"/>
      <c r="P18" s="64"/>
      <c r="Q18" s="280">
        <v>46000</v>
      </c>
      <c r="R18" s="280">
        <f>Q18+14</f>
        <v>46014</v>
      </c>
      <c r="S18" s="75" t="s">
        <v>37</v>
      </c>
      <c r="T18" s="75"/>
      <c r="U18" s="98"/>
      <c r="V18" s="98"/>
      <c r="W18" s="68" t="s">
        <v>135</v>
      </c>
      <c r="X18" s="64"/>
      <c r="AH18" s="73"/>
    </row>
    <row r="19" spans="1:34" s="69" customFormat="1" ht="95.1">
      <c r="A19" s="251" t="s">
        <v>136</v>
      </c>
      <c r="B19" s="64" t="s">
        <v>137</v>
      </c>
      <c r="C19" s="65">
        <v>9</v>
      </c>
      <c r="D19" s="65" t="s">
        <v>138</v>
      </c>
      <c r="E19" s="65"/>
      <c r="F19" s="65" t="s">
        <v>139</v>
      </c>
      <c r="G19" s="64"/>
      <c r="H19" s="71" t="s">
        <v>140</v>
      </c>
      <c r="I19" s="71"/>
      <c r="J19" s="64" t="s">
        <v>32</v>
      </c>
      <c r="K19" s="64" t="s">
        <v>33</v>
      </c>
      <c r="L19" s="64" t="s">
        <v>141</v>
      </c>
      <c r="M19" s="64"/>
      <c r="N19" s="64"/>
      <c r="O19" s="72"/>
      <c r="P19" s="72"/>
      <c r="Q19" s="280">
        <v>46001</v>
      </c>
      <c r="R19" s="280">
        <f>Q19+3</f>
        <v>46004</v>
      </c>
      <c r="S19" s="67"/>
      <c r="T19" s="67"/>
      <c r="U19" s="98"/>
      <c r="V19" s="98"/>
      <c r="W19" s="68" t="s">
        <v>142</v>
      </c>
      <c r="X19" s="64"/>
      <c r="AH19" s="73"/>
    </row>
    <row r="20" spans="1:34" s="69" customFormat="1" ht="38.1">
      <c r="A20" s="68" t="s">
        <v>143</v>
      </c>
      <c r="B20" s="64" t="s">
        <v>144</v>
      </c>
      <c r="C20" s="65">
        <v>9</v>
      </c>
      <c r="D20" s="65"/>
      <c r="E20" s="65"/>
      <c r="F20" s="65" t="s">
        <v>145</v>
      </c>
      <c r="G20" s="64" t="s">
        <v>146</v>
      </c>
      <c r="H20" s="64" t="s">
        <v>147</v>
      </c>
      <c r="I20" s="64"/>
      <c r="J20" s="64" t="s">
        <v>148</v>
      </c>
      <c r="K20" s="64" t="s">
        <v>33</v>
      </c>
      <c r="L20" s="64"/>
      <c r="M20" s="64"/>
      <c r="N20" s="64"/>
      <c r="O20" s="64"/>
      <c r="P20" s="64"/>
      <c r="Q20" s="280">
        <v>45978</v>
      </c>
      <c r="R20" s="280">
        <f>Q20+10</f>
        <v>45988</v>
      </c>
      <c r="S20" s="67"/>
      <c r="T20" s="67"/>
      <c r="U20" s="98"/>
      <c r="V20" s="98"/>
      <c r="W20" s="68" t="s">
        <v>149</v>
      </c>
      <c r="X20" s="64"/>
      <c r="AH20" s="73"/>
    </row>
    <row r="21" spans="1:34" s="69" customFormat="1" ht="18.95">
      <c r="A21" s="68" t="s">
        <v>150</v>
      </c>
      <c r="B21" s="64"/>
      <c r="C21" s="65">
        <v>9</v>
      </c>
      <c r="D21" s="65"/>
      <c r="E21" s="65"/>
      <c r="F21" s="65" t="s">
        <v>75</v>
      </c>
      <c r="G21" s="64"/>
      <c r="H21" s="71" t="s">
        <v>79</v>
      </c>
      <c r="I21" s="71"/>
      <c r="J21" s="64" t="s">
        <v>77</v>
      </c>
      <c r="K21" s="64" t="s">
        <v>33</v>
      </c>
      <c r="L21" s="64" t="s">
        <v>80</v>
      </c>
      <c r="M21" s="64"/>
      <c r="N21" s="64"/>
      <c r="O21" s="72"/>
      <c r="P21" s="72"/>
      <c r="Q21" s="280">
        <v>45940</v>
      </c>
      <c r="R21" s="280">
        <f>Q21+4</f>
        <v>45944</v>
      </c>
      <c r="S21" s="67"/>
      <c r="T21" s="67"/>
      <c r="U21" s="98"/>
      <c r="V21" s="98"/>
      <c r="W21" s="68" t="s">
        <v>151</v>
      </c>
      <c r="X21" s="64"/>
      <c r="AH21" s="73"/>
    </row>
    <row r="22" spans="1:34" s="69" customFormat="1" ht="323.10000000000002">
      <c r="A22" s="252" t="s">
        <v>152</v>
      </c>
      <c r="B22" s="64" t="s">
        <v>137</v>
      </c>
      <c r="C22" s="65">
        <v>9</v>
      </c>
      <c r="D22" s="65" t="s">
        <v>153</v>
      </c>
      <c r="E22" s="65"/>
      <c r="F22" s="65"/>
      <c r="G22" s="64"/>
      <c r="H22" s="64" t="s">
        <v>154</v>
      </c>
      <c r="I22" s="64"/>
      <c r="J22" s="64" t="s">
        <v>32</v>
      </c>
      <c r="K22" s="64" t="s">
        <v>33</v>
      </c>
      <c r="L22" s="64" t="s">
        <v>80</v>
      </c>
      <c r="M22" s="64"/>
      <c r="N22" s="64"/>
      <c r="O22" s="64"/>
      <c r="P22" s="64"/>
      <c r="Q22" s="280">
        <v>46000</v>
      </c>
      <c r="R22" s="280">
        <f>Q22+6</f>
        <v>46006</v>
      </c>
      <c r="S22" s="67" t="s">
        <v>37</v>
      </c>
      <c r="T22" s="67"/>
      <c r="U22" s="98">
        <v>9950</v>
      </c>
      <c r="V22" s="98"/>
      <c r="W22" s="68" t="s">
        <v>155</v>
      </c>
      <c r="X22" s="64"/>
      <c r="AH22" s="73"/>
    </row>
    <row r="23" spans="1:34" s="69" customFormat="1" ht="132.94999999999999">
      <c r="A23" s="68" t="s">
        <v>156</v>
      </c>
      <c r="B23" s="64" t="s">
        <v>104</v>
      </c>
      <c r="C23" s="65">
        <v>9</v>
      </c>
      <c r="D23" s="65"/>
      <c r="E23" s="65"/>
      <c r="F23" s="65" t="s">
        <v>145</v>
      </c>
      <c r="G23" s="64" t="s">
        <v>157</v>
      </c>
      <c r="H23" s="64" t="s">
        <v>158</v>
      </c>
      <c r="I23" s="64"/>
      <c r="J23" s="64" t="s">
        <v>32</v>
      </c>
      <c r="K23" s="64" t="s">
        <v>33</v>
      </c>
      <c r="L23" s="64"/>
      <c r="M23" s="64"/>
      <c r="N23" s="64"/>
      <c r="O23" s="64"/>
      <c r="P23" s="64"/>
      <c r="Q23" s="280">
        <v>45945</v>
      </c>
      <c r="R23" s="280">
        <f>Q23+7</f>
        <v>45952</v>
      </c>
      <c r="S23" s="67"/>
      <c r="T23" s="67"/>
      <c r="U23" s="98"/>
      <c r="V23" s="98"/>
      <c r="W23" s="68" t="s">
        <v>159</v>
      </c>
      <c r="X23" s="64"/>
      <c r="AH23" s="73"/>
    </row>
    <row r="24" spans="1:34" s="69" customFormat="1" ht="57">
      <c r="A24" s="68" t="s">
        <v>160</v>
      </c>
      <c r="B24" s="64" t="s">
        <v>144</v>
      </c>
      <c r="C24" s="65">
        <v>9</v>
      </c>
      <c r="D24" s="65" t="s">
        <v>28</v>
      </c>
      <c r="E24" s="65"/>
      <c r="F24" s="65" t="s">
        <v>161</v>
      </c>
      <c r="G24" s="64"/>
      <c r="H24" s="71" t="s">
        <v>162</v>
      </c>
      <c r="I24" s="71"/>
      <c r="J24" s="64" t="s">
        <v>32</v>
      </c>
      <c r="K24" s="64" t="s">
        <v>120</v>
      </c>
      <c r="L24" s="64" t="s">
        <v>163</v>
      </c>
      <c r="M24" s="64"/>
      <c r="N24" s="64"/>
      <c r="O24" s="72"/>
      <c r="P24" s="72"/>
      <c r="Q24" s="280">
        <v>45947</v>
      </c>
      <c r="R24" s="280">
        <f>Q24+7</f>
        <v>45954</v>
      </c>
      <c r="S24" s="67" t="s">
        <v>93</v>
      </c>
      <c r="T24" s="67"/>
      <c r="U24" s="98"/>
      <c r="V24" s="98"/>
      <c r="W24" s="68" t="s">
        <v>164</v>
      </c>
      <c r="X24" s="64"/>
      <c r="AH24" s="73"/>
    </row>
    <row r="25" spans="1:34" s="69" customFormat="1" ht="176.1" customHeight="1">
      <c r="A25" s="68" t="s">
        <v>165</v>
      </c>
      <c r="B25" s="64" t="s">
        <v>144</v>
      </c>
      <c r="C25" s="65">
        <v>9</v>
      </c>
      <c r="D25" s="65"/>
      <c r="E25" s="65"/>
      <c r="F25" s="65"/>
      <c r="G25" s="64"/>
      <c r="H25" s="64" t="s">
        <v>166</v>
      </c>
      <c r="I25" s="64"/>
      <c r="J25" s="64"/>
      <c r="K25" s="64" t="s">
        <v>133</v>
      </c>
      <c r="L25" s="64"/>
      <c r="M25" s="64"/>
      <c r="N25" s="64"/>
      <c r="O25" s="64"/>
      <c r="P25" s="64"/>
      <c r="Q25" s="280">
        <v>45996</v>
      </c>
      <c r="R25" s="280">
        <f>Q25+10</f>
        <v>46006</v>
      </c>
      <c r="S25" s="67"/>
      <c r="T25" s="67"/>
      <c r="U25" s="98"/>
      <c r="V25" s="98"/>
      <c r="W25" s="68" t="s">
        <v>167</v>
      </c>
      <c r="X25" s="64"/>
      <c r="AH25" s="73"/>
    </row>
    <row r="26" spans="1:34" s="69" customFormat="1" ht="246.95">
      <c r="A26" s="252" t="s">
        <v>168</v>
      </c>
      <c r="B26" s="64" t="s">
        <v>144</v>
      </c>
      <c r="C26" s="65">
        <v>8</v>
      </c>
      <c r="D26" s="65" t="s">
        <v>28</v>
      </c>
      <c r="E26" s="65"/>
      <c r="F26" s="65" t="s">
        <v>169</v>
      </c>
      <c r="G26" s="64"/>
      <c r="H26" s="64" t="s">
        <v>170</v>
      </c>
      <c r="I26" s="64"/>
      <c r="J26" s="64" t="s">
        <v>32</v>
      </c>
      <c r="K26" s="64" t="s">
        <v>33</v>
      </c>
      <c r="L26" s="64" t="s">
        <v>34</v>
      </c>
      <c r="M26" s="64"/>
      <c r="N26" s="64"/>
      <c r="O26" s="64"/>
      <c r="P26" s="64"/>
      <c r="Q26" s="280">
        <v>45978</v>
      </c>
      <c r="R26" s="280">
        <f>Q26+10</f>
        <v>45988</v>
      </c>
      <c r="S26" s="67"/>
      <c r="T26" s="67"/>
      <c r="U26" s="98"/>
      <c r="V26" s="98"/>
      <c r="W26" s="68" t="s">
        <v>171</v>
      </c>
      <c r="X26" s="64"/>
      <c r="AH26" s="73"/>
    </row>
    <row r="27" spans="1:34" s="69" customFormat="1" ht="38.1">
      <c r="A27" s="68" t="s">
        <v>172</v>
      </c>
      <c r="B27" s="64" t="s">
        <v>137</v>
      </c>
      <c r="C27" s="65">
        <v>8</v>
      </c>
      <c r="D27" s="65"/>
      <c r="E27" s="65"/>
      <c r="F27" s="65" t="s">
        <v>145</v>
      </c>
      <c r="G27" s="64"/>
      <c r="H27" s="64" t="s">
        <v>173</v>
      </c>
      <c r="I27" s="64"/>
      <c r="J27" s="64" t="s">
        <v>32</v>
      </c>
      <c r="K27" s="64" t="s">
        <v>174</v>
      </c>
      <c r="L27" s="64" t="s">
        <v>175</v>
      </c>
      <c r="M27" s="64"/>
      <c r="N27" s="64"/>
      <c r="O27" s="64"/>
      <c r="P27" s="64"/>
      <c r="Q27" s="280">
        <v>45932</v>
      </c>
      <c r="R27" s="280">
        <f>Q27+14</f>
        <v>45946</v>
      </c>
      <c r="S27" s="67"/>
      <c r="T27" s="67"/>
      <c r="U27" s="98"/>
      <c r="V27" s="98"/>
      <c r="W27" s="68" t="s">
        <v>176</v>
      </c>
      <c r="X27" s="64"/>
      <c r="AH27" s="73"/>
    </row>
    <row r="28" spans="1:34" s="69" customFormat="1" ht="18.95">
      <c r="A28" s="68" t="s">
        <v>177</v>
      </c>
      <c r="B28" s="64" t="s">
        <v>144</v>
      </c>
      <c r="C28" s="65">
        <v>8</v>
      </c>
      <c r="D28" s="65" t="s">
        <v>178</v>
      </c>
      <c r="E28" s="65"/>
      <c r="F28" s="65"/>
      <c r="G28" s="64"/>
      <c r="H28" s="64" t="s">
        <v>179</v>
      </c>
      <c r="I28" s="64"/>
      <c r="J28" s="64"/>
      <c r="K28" s="64" t="s">
        <v>133</v>
      </c>
      <c r="L28" s="64"/>
      <c r="M28" s="64"/>
      <c r="N28" s="64"/>
      <c r="O28" s="64"/>
      <c r="P28" s="64"/>
      <c r="Q28" s="280">
        <v>45981</v>
      </c>
      <c r="R28" s="280">
        <f>Q28+7</f>
        <v>45988</v>
      </c>
      <c r="S28" s="67"/>
      <c r="T28" s="67"/>
      <c r="U28" s="98"/>
      <c r="V28" s="98"/>
      <c r="W28" s="68" t="s">
        <v>180</v>
      </c>
      <c r="X28" s="64"/>
      <c r="AH28" s="73"/>
    </row>
    <row r="29" spans="1:34" s="69" customFormat="1" ht="18.95">
      <c r="A29" s="68" t="s">
        <v>181</v>
      </c>
      <c r="B29" s="64" t="s">
        <v>144</v>
      </c>
      <c r="C29" s="65">
        <v>8</v>
      </c>
      <c r="D29" s="65" t="s">
        <v>28</v>
      </c>
      <c r="E29" s="65"/>
      <c r="F29" s="65" t="s">
        <v>182</v>
      </c>
      <c r="G29" s="64" t="s">
        <v>183</v>
      </c>
      <c r="H29" s="66" t="s">
        <v>184</v>
      </c>
      <c r="I29" s="66"/>
      <c r="J29" s="64"/>
      <c r="K29" s="64" t="s">
        <v>185</v>
      </c>
      <c r="L29" s="64" t="s">
        <v>186</v>
      </c>
      <c r="M29" s="64"/>
      <c r="N29" s="64"/>
      <c r="O29" s="64"/>
      <c r="P29" s="64"/>
      <c r="Q29" s="280">
        <v>45967</v>
      </c>
      <c r="R29" s="280">
        <f>Q29+14</f>
        <v>45981</v>
      </c>
      <c r="S29" s="67"/>
      <c r="T29" s="67"/>
      <c r="U29" s="98"/>
      <c r="V29" s="98"/>
      <c r="W29" s="68" t="s">
        <v>187</v>
      </c>
      <c r="X29" s="64"/>
      <c r="AH29" s="73"/>
    </row>
    <row r="30" spans="1:34" s="69" customFormat="1" ht="18.95">
      <c r="A30" s="68" t="s">
        <v>188</v>
      </c>
      <c r="B30" s="64" t="s">
        <v>144</v>
      </c>
      <c r="C30" s="65">
        <v>8</v>
      </c>
      <c r="D30" s="65" t="s">
        <v>189</v>
      </c>
      <c r="E30" s="65"/>
      <c r="F30" s="65" t="s">
        <v>182</v>
      </c>
      <c r="G30" s="64" t="s">
        <v>190</v>
      </c>
      <c r="H30" s="66" t="s">
        <v>191</v>
      </c>
      <c r="I30" s="66"/>
      <c r="J30" s="64"/>
      <c r="K30" s="64" t="s">
        <v>133</v>
      </c>
      <c r="L30" s="64" t="s">
        <v>186</v>
      </c>
      <c r="M30" s="64"/>
      <c r="N30" s="64"/>
      <c r="O30" s="64"/>
      <c r="P30" s="64"/>
      <c r="Q30" s="280">
        <v>45992</v>
      </c>
      <c r="R30" s="280">
        <f>Q30+14</f>
        <v>46006</v>
      </c>
      <c r="S30" s="67"/>
      <c r="T30" s="67"/>
      <c r="U30" s="98"/>
      <c r="V30" s="98"/>
      <c r="W30" s="68" t="s">
        <v>192</v>
      </c>
      <c r="X30" s="64"/>
      <c r="AH30" s="73"/>
    </row>
    <row r="31" spans="1:34" s="69" customFormat="1" ht="18.95">
      <c r="A31" s="68" t="s">
        <v>193</v>
      </c>
      <c r="B31" s="64" t="s">
        <v>144</v>
      </c>
      <c r="C31" s="65">
        <v>8</v>
      </c>
      <c r="D31" s="65"/>
      <c r="E31" s="65"/>
      <c r="F31" s="65" t="s">
        <v>194</v>
      </c>
      <c r="G31" s="64" t="s">
        <v>195</v>
      </c>
      <c r="H31" s="64" t="s">
        <v>196</v>
      </c>
      <c r="I31" s="64"/>
      <c r="J31" s="64" t="s">
        <v>32</v>
      </c>
      <c r="K31" s="64" t="s">
        <v>133</v>
      </c>
      <c r="L31" s="64" t="s">
        <v>186</v>
      </c>
      <c r="M31" s="64"/>
      <c r="N31" s="64"/>
      <c r="O31" s="64"/>
      <c r="P31" s="64"/>
      <c r="Q31" s="280">
        <v>45967</v>
      </c>
      <c r="R31" s="280">
        <f>Q31+7</f>
        <v>45974</v>
      </c>
      <c r="S31" s="75"/>
      <c r="T31" s="75"/>
      <c r="U31" s="284"/>
      <c r="V31" s="284"/>
      <c r="W31" s="68" t="s">
        <v>197</v>
      </c>
      <c r="X31" s="64"/>
      <c r="AH31" s="73"/>
    </row>
    <row r="32" spans="1:34" s="69" customFormat="1" ht="75.95">
      <c r="A32" s="83" t="s">
        <v>198</v>
      </c>
      <c r="B32" s="64" t="s">
        <v>199</v>
      </c>
      <c r="C32" s="65">
        <v>8</v>
      </c>
      <c r="D32" s="65"/>
      <c r="E32" s="65"/>
      <c r="F32" s="65"/>
      <c r="G32" s="79" t="s">
        <v>200</v>
      </c>
      <c r="H32" s="79" t="s">
        <v>201</v>
      </c>
      <c r="I32" s="79"/>
      <c r="J32" s="79" t="s">
        <v>32</v>
      </c>
      <c r="K32" s="79" t="s">
        <v>33</v>
      </c>
      <c r="L32" s="79" t="s">
        <v>111</v>
      </c>
      <c r="M32" s="79" t="s">
        <v>202</v>
      </c>
      <c r="N32" s="79" t="s">
        <v>64</v>
      </c>
      <c r="O32" s="79"/>
      <c r="P32" s="79"/>
      <c r="Q32" s="280">
        <v>45905</v>
      </c>
      <c r="R32" s="280">
        <f>Q32+7</f>
        <v>45912</v>
      </c>
      <c r="S32" s="82"/>
      <c r="T32" s="82"/>
      <c r="U32" s="285"/>
      <c r="V32" s="285"/>
      <c r="W32" s="83" t="s">
        <v>203</v>
      </c>
      <c r="X32" s="64"/>
      <c r="AH32" s="73"/>
    </row>
    <row r="33" spans="1:34" s="69" customFormat="1" ht="57">
      <c r="A33" s="68" t="s">
        <v>204</v>
      </c>
      <c r="B33" s="64" t="s">
        <v>144</v>
      </c>
      <c r="C33" s="65">
        <v>8</v>
      </c>
      <c r="D33" s="65" t="s">
        <v>76</v>
      </c>
      <c r="E33" s="65"/>
      <c r="F33" s="65"/>
      <c r="G33" s="64"/>
      <c r="H33" s="64" t="s">
        <v>205</v>
      </c>
      <c r="I33" s="64"/>
      <c r="J33" s="64" t="s">
        <v>32</v>
      </c>
      <c r="K33" s="64" t="s">
        <v>33</v>
      </c>
      <c r="L33" s="64" t="s">
        <v>80</v>
      </c>
      <c r="M33" s="78"/>
      <c r="N33" s="78"/>
      <c r="O33" s="78"/>
      <c r="P33" s="64"/>
      <c r="Q33" s="280">
        <v>45930</v>
      </c>
      <c r="R33" s="280">
        <f>Q33+14</f>
        <v>45944</v>
      </c>
      <c r="S33" s="67"/>
      <c r="T33" s="67"/>
      <c r="U33" s="98"/>
      <c r="V33" s="98"/>
      <c r="W33" s="68" t="s">
        <v>206</v>
      </c>
      <c r="X33" s="64"/>
      <c r="AH33" s="73"/>
    </row>
    <row r="34" spans="1:34" s="69" customFormat="1" ht="18.95">
      <c r="A34" s="77" t="s">
        <v>207</v>
      </c>
      <c r="B34" s="64" t="s">
        <v>144</v>
      </c>
      <c r="C34" s="65">
        <v>8</v>
      </c>
      <c r="D34" s="65"/>
      <c r="E34" s="65"/>
      <c r="F34" s="65" t="s">
        <v>145</v>
      </c>
      <c r="G34" s="64" t="s">
        <v>208</v>
      </c>
      <c r="H34" s="64" t="s">
        <v>209</v>
      </c>
      <c r="I34" s="64"/>
      <c r="J34" s="64" t="s">
        <v>32</v>
      </c>
      <c r="K34" s="64" t="s">
        <v>33</v>
      </c>
      <c r="L34" s="64" t="s">
        <v>80</v>
      </c>
      <c r="M34" s="64"/>
      <c r="N34" s="64"/>
      <c r="O34" s="64"/>
      <c r="P34" s="64"/>
      <c r="Q34" s="280">
        <v>45922</v>
      </c>
      <c r="R34" s="280">
        <v>45950</v>
      </c>
      <c r="S34" s="75"/>
      <c r="T34" s="75"/>
      <c r="U34" s="98"/>
      <c r="V34" s="98"/>
      <c r="W34" s="68" t="s">
        <v>210</v>
      </c>
      <c r="X34" s="64"/>
      <c r="AH34" s="73"/>
    </row>
    <row r="35" spans="1:34" s="69" customFormat="1" ht="75.95">
      <c r="A35" s="68" t="s">
        <v>211</v>
      </c>
      <c r="B35" s="64" t="s">
        <v>144</v>
      </c>
      <c r="C35" s="65">
        <v>8</v>
      </c>
      <c r="D35" s="65"/>
      <c r="E35" s="65"/>
      <c r="F35" s="65"/>
      <c r="G35" s="64" t="s">
        <v>212</v>
      </c>
      <c r="H35" s="64" t="s">
        <v>213</v>
      </c>
      <c r="I35" s="64"/>
      <c r="J35" s="64" t="s">
        <v>32</v>
      </c>
      <c r="K35" s="64" t="s">
        <v>33</v>
      </c>
      <c r="L35" s="64" t="s">
        <v>186</v>
      </c>
      <c r="M35" s="64"/>
      <c r="N35" s="64"/>
      <c r="O35" s="64"/>
      <c r="P35" s="64"/>
      <c r="Q35" s="280">
        <v>45930</v>
      </c>
      <c r="R35" s="280">
        <f>Q35+20</f>
        <v>45950</v>
      </c>
      <c r="S35" s="67"/>
      <c r="T35" s="67"/>
      <c r="U35" s="98"/>
      <c r="V35" s="98"/>
      <c r="W35" s="68" t="s">
        <v>214</v>
      </c>
      <c r="X35" s="64"/>
      <c r="AH35" s="73"/>
    </row>
    <row r="36" spans="1:34" s="69" customFormat="1" ht="75.95">
      <c r="A36" s="68" t="s">
        <v>215</v>
      </c>
      <c r="B36" s="64" t="s">
        <v>144</v>
      </c>
      <c r="C36" s="65">
        <v>8</v>
      </c>
      <c r="D36" s="65"/>
      <c r="E36" s="65"/>
      <c r="F36" s="65"/>
      <c r="G36" s="64" t="s">
        <v>216</v>
      </c>
      <c r="H36" s="64" t="s">
        <v>217</v>
      </c>
      <c r="I36" s="64"/>
      <c r="J36" s="64" t="s">
        <v>32</v>
      </c>
      <c r="K36" s="64" t="s">
        <v>33</v>
      </c>
      <c r="L36" s="64" t="s">
        <v>80</v>
      </c>
      <c r="M36" s="64" t="s">
        <v>218</v>
      </c>
      <c r="N36" s="64" t="s">
        <v>219</v>
      </c>
      <c r="O36" s="64"/>
      <c r="P36" s="64"/>
      <c r="Q36" s="280">
        <v>45945</v>
      </c>
      <c r="R36" s="280">
        <f>Q36+7</f>
        <v>45952</v>
      </c>
      <c r="S36" s="67"/>
      <c r="T36" s="67"/>
      <c r="U36" s="98"/>
      <c r="V36" s="98"/>
      <c r="W36" s="68" t="s">
        <v>220</v>
      </c>
      <c r="X36" s="64"/>
      <c r="AH36" s="73"/>
    </row>
    <row r="37" spans="1:34" s="69" customFormat="1" ht="18.95">
      <c r="A37" s="68" t="s">
        <v>221</v>
      </c>
      <c r="B37" s="64" t="s">
        <v>144</v>
      </c>
      <c r="C37" s="65">
        <v>8</v>
      </c>
      <c r="D37" s="65"/>
      <c r="E37" s="65"/>
      <c r="F37" s="65" t="s">
        <v>222</v>
      </c>
      <c r="G37" s="64"/>
      <c r="H37" s="64" t="s">
        <v>223</v>
      </c>
      <c r="I37" s="64"/>
      <c r="J37" s="64" t="s">
        <v>32</v>
      </c>
      <c r="K37" s="64" t="s">
        <v>224</v>
      </c>
      <c r="L37" s="64" t="s">
        <v>46</v>
      </c>
      <c r="M37" s="64"/>
      <c r="N37" s="64"/>
      <c r="O37" s="64"/>
      <c r="P37" s="64"/>
      <c r="Q37" s="280">
        <v>45947</v>
      </c>
      <c r="R37" s="280">
        <f>Q37+10</f>
        <v>45957</v>
      </c>
      <c r="S37" s="67"/>
      <c r="T37" s="67"/>
      <c r="U37" s="98"/>
      <c r="V37" s="98"/>
      <c r="W37" s="68" t="s">
        <v>225</v>
      </c>
      <c r="X37" s="64"/>
      <c r="AH37" s="73"/>
    </row>
    <row r="38" spans="1:34" s="69" customFormat="1" ht="75.95">
      <c r="A38" s="68" t="s">
        <v>61</v>
      </c>
      <c r="B38" s="64" t="s">
        <v>144</v>
      </c>
      <c r="C38" s="65">
        <v>8</v>
      </c>
      <c r="D38" s="65"/>
      <c r="E38" s="65"/>
      <c r="F38" s="65"/>
      <c r="G38" s="64" t="s">
        <v>226</v>
      </c>
      <c r="H38" s="64" t="s">
        <v>227</v>
      </c>
      <c r="I38" s="64"/>
      <c r="J38" s="64" t="s">
        <v>32</v>
      </c>
      <c r="K38" s="64" t="s">
        <v>33</v>
      </c>
      <c r="L38" s="64" t="s">
        <v>111</v>
      </c>
      <c r="M38" s="64" t="s">
        <v>134</v>
      </c>
      <c r="N38" s="64" t="s">
        <v>36</v>
      </c>
      <c r="O38" s="72">
        <v>45345</v>
      </c>
      <c r="P38" s="64"/>
      <c r="Q38" s="280">
        <v>45947</v>
      </c>
      <c r="R38" s="280">
        <f>Q38+12</f>
        <v>45959</v>
      </c>
      <c r="S38" s="67"/>
      <c r="T38" s="67"/>
      <c r="U38" s="98"/>
      <c r="V38" s="98"/>
      <c r="W38" s="68" t="s">
        <v>228</v>
      </c>
      <c r="X38" s="64"/>
      <c r="AH38" s="73"/>
    </row>
    <row r="39" spans="1:34" s="69" customFormat="1" ht="18.95">
      <c r="A39" s="68" t="s">
        <v>229</v>
      </c>
      <c r="B39" s="64" t="s">
        <v>144</v>
      </c>
      <c r="C39" s="65">
        <v>8</v>
      </c>
      <c r="D39" s="65"/>
      <c r="E39" s="65"/>
      <c r="F39" s="65" t="s">
        <v>145</v>
      </c>
      <c r="G39" s="64" t="s">
        <v>230</v>
      </c>
      <c r="H39" s="64" t="s">
        <v>231</v>
      </c>
      <c r="I39" s="64"/>
      <c r="J39" s="64" t="s">
        <v>32</v>
      </c>
      <c r="K39" s="64" t="s">
        <v>33</v>
      </c>
      <c r="L39" s="64"/>
      <c r="M39" s="64"/>
      <c r="N39" s="64"/>
      <c r="O39" s="64"/>
      <c r="P39" s="64"/>
      <c r="Q39" s="280">
        <v>45949</v>
      </c>
      <c r="R39" s="280">
        <f>Q39+10</f>
        <v>45959</v>
      </c>
      <c r="S39" s="67"/>
      <c r="T39" s="67"/>
      <c r="U39" s="98"/>
      <c r="V39" s="98"/>
      <c r="W39" s="68" t="s">
        <v>232</v>
      </c>
      <c r="X39" s="64"/>
      <c r="AH39" s="73"/>
    </row>
    <row r="40" spans="1:34" s="69" customFormat="1" ht="114">
      <c r="A40" s="68" t="s">
        <v>233</v>
      </c>
      <c r="B40" s="64" t="s">
        <v>144</v>
      </c>
      <c r="C40" s="65">
        <v>8</v>
      </c>
      <c r="D40" s="65" t="s">
        <v>76</v>
      </c>
      <c r="E40" s="65"/>
      <c r="F40" s="65" t="s">
        <v>145</v>
      </c>
      <c r="G40" s="64"/>
      <c r="H40" s="64" t="s">
        <v>234</v>
      </c>
      <c r="I40" s="64"/>
      <c r="J40" s="64" t="s">
        <v>32</v>
      </c>
      <c r="K40" s="64" t="s">
        <v>33</v>
      </c>
      <c r="L40" s="64" t="s">
        <v>80</v>
      </c>
      <c r="M40" s="78"/>
      <c r="N40" s="78"/>
      <c r="O40" s="78"/>
      <c r="P40" s="64"/>
      <c r="Q40" s="280">
        <v>45994</v>
      </c>
      <c r="R40" s="280">
        <f>Q40+20</f>
        <v>46014</v>
      </c>
      <c r="S40" s="67"/>
      <c r="T40" s="67"/>
      <c r="U40" s="98"/>
      <c r="V40" s="98"/>
      <c r="W40" s="68" t="s">
        <v>235</v>
      </c>
      <c r="X40" s="64"/>
      <c r="AH40" s="73"/>
    </row>
    <row r="41" spans="1:34" s="69" customFormat="1" ht="18.95">
      <c r="A41" s="68" t="s">
        <v>236</v>
      </c>
      <c r="B41" s="64" t="s">
        <v>144</v>
      </c>
      <c r="C41" s="65">
        <v>8</v>
      </c>
      <c r="D41" s="65" t="s">
        <v>76</v>
      </c>
      <c r="E41" s="65"/>
      <c r="F41" s="65" t="s">
        <v>145</v>
      </c>
      <c r="G41" s="64"/>
      <c r="H41" s="64" t="s">
        <v>237</v>
      </c>
      <c r="I41" s="64"/>
      <c r="J41" s="64" t="s">
        <v>32</v>
      </c>
      <c r="K41" s="64"/>
      <c r="L41" s="64" t="s">
        <v>80</v>
      </c>
      <c r="M41" s="78"/>
      <c r="N41" s="78"/>
      <c r="O41" s="78"/>
      <c r="P41" s="64"/>
      <c r="Q41" s="280">
        <v>45947</v>
      </c>
      <c r="R41" s="280">
        <f>Q41+14</f>
        <v>45961</v>
      </c>
      <c r="S41" s="67"/>
      <c r="T41" s="67"/>
      <c r="U41" s="98"/>
      <c r="V41" s="98"/>
      <c r="W41" s="68" t="s">
        <v>238</v>
      </c>
      <c r="X41" s="64"/>
      <c r="AH41" s="73"/>
    </row>
    <row r="42" spans="1:34" s="69" customFormat="1" ht="57">
      <c r="A42" s="68" t="s">
        <v>239</v>
      </c>
      <c r="B42" s="64" t="s">
        <v>144</v>
      </c>
      <c r="C42" s="65">
        <v>8</v>
      </c>
      <c r="D42" s="65"/>
      <c r="E42" s="65"/>
      <c r="F42" s="65" t="s">
        <v>145</v>
      </c>
      <c r="G42" s="64"/>
      <c r="H42" s="64" t="s">
        <v>240</v>
      </c>
      <c r="I42" s="64"/>
      <c r="J42" s="64" t="s">
        <v>32</v>
      </c>
      <c r="K42" s="64" t="s">
        <v>33</v>
      </c>
      <c r="L42" s="64"/>
      <c r="M42" s="64"/>
      <c r="N42" s="64"/>
      <c r="O42" s="64"/>
      <c r="P42" s="64"/>
      <c r="Q42" s="280">
        <v>45979</v>
      </c>
      <c r="R42" s="280">
        <f>Q42+14</f>
        <v>45993</v>
      </c>
      <c r="S42" s="67"/>
      <c r="T42" s="67"/>
      <c r="U42" s="98"/>
      <c r="V42" s="98"/>
      <c r="W42" s="68" t="s">
        <v>241</v>
      </c>
      <c r="X42" s="64"/>
      <c r="AH42" s="73"/>
    </row>
    <row r="43" spans="1:34" s="69" customFormat="1" ht="18.95">
      <c r="A43" s="68" t="s">
        <v>242</v>
      </c>
      <c r="B43" s="64" t="s">
        <v>144</v>
      </c>
      <c r="C43" s="65">
        <v>8</v>
      </c>
      <c r="D43" s="65"/>
      <c r="E43" s="65"/>
      <c r="F43" s="65" t="s">
        <v>243</v>
      </c>
      <c r="G43" s="64"/>
      <c r="H43" s="64" t="s">
        <v>244</v>
      </c>
      <c r="I43" s="64"/>
      <c r="J43" s="64" t="s">
        <v>32</v>
      </c>
      <c r="K43" s="64" t="s">
        <v>224</v>
      </c>
      <c r="L43" s="64" t="s">
        <v>111</v>
      </c>
      <c r="M43" s="64"/>
      <c r="N43" s="64"/>
      <c r="O43" s="64"/>
      <c r="P43" s="64"/>
      <c r="Q43" s="280">
        <v>45947</v>
      </c>
      <c r="R43" s="280">
        <f>Q43+20</f>
        <v>45967</v>
      </c>
      <c r="S43" s="67" t="s">
        <v>37</v>
      </c>
      <c r="T43" s="67"/>
      <c r="U43" s="98"/>
      <c r="V43" s="98"/>
      <c r="W43" s="68" t="s">
        <v>245</v>
      </c>
      <c r="X43" s="64"/>
    </row>
    <row r="44" spans="1:34" s="69" customFormat="1" ht="57">
      <c r="A44" s="253" t="s">
        <v>246</v>
      </c>
      <c r="B44" s="64" t="s">
        <v>144</v>
      </c>
      <c r="C44" s="65">
        <v>8</v>
      </c>
      <c r="D44" s="65"/>
      <c r="E44" s="65"/>
      <c r="F44" s="65" t="s">
        <v>247</v>
      </c>
      <c r="G44" s="64" t="s">
        <v>248</v>
      </c>
      <c r="H44" s="66" t="s">
        <v>249</v>
      </c>
      <c r="I44" s="66"/>
      <c r="J44" s="64" t="s">
        <v>32</v>
      </c>
      <c r="K44" s="64" t="s">
        <v>224</v>
      </c>
      <c r="L44" s="64" t="s">
        <v>80</v>
      </c>
      <c r="M44" s="64"/>
      <c r="N44" s="64"/>
      <c r="O44" s="64"/>
      <c r="P44" s="64"/>
      <c r="Q44" s="280">
        <v>45938</v>
      </c>
      <c r="R44" s="280">
        <f>Q44+30</f>
        <v>45968</v>
      </c>
      <c r="S44" s="75" t="s">
        <v>37</v>
      </c>
      <c r="T44" s="75"/>
      <c r="U44" s="98"/>
      <c r="V44" s="98"/>
      <c r="W44" s="104" t="s">
        <v>250</v>
      </c>
      <c r="X44" s="64"/>
      <c r="AH44" s="73"/>
    </row>
    <row r="45" spans="1:34" s="69" customFormat="1" ht="342">
      <c r="A45" s="68" t="s">
        <v>251</v>
      </c>
      <c r="B45" s="64" t="s">
        <v>104</v>
      </c>
      <c r="C45" s="65">
        <v>8</v>
      </c>
      <c r="D45" s="65" t="s">
        <v>28</v>
      </c>
      <c r="E45" s="65" t="s">
        <v>252</v>
      </c>
      <c r="F45" s="65" t="s">
        <v>253</v>
      </c>
      <c r="G45" s="64" t="s">
        <v>254</v>
      </c>
      <c r="H45" s="64" t="s">
        <v>255</v>
      </c>
      <c r="I45" s="64">
        <v>168</v>
      </c>
      <c r="J45" s="64" t="s">
        <v>32</v>
      </c>
      <c r="K45" s="64" t="s">
        <v>33</v>
      </c>
      <c r="L45" s="64" t="s">
        <v>46</v>
      </c>
      <c r="M45" s="64"/>
      <c r="N45" s="64"/>
      <c r="O45" s="64"/>
      <c r="P45" s="64"/>
      <c r="Q45" s="280">
        <v>46000</v>
      </c>
      <c r="R45" s="280">
        <f>Q45+60</f>
        <v>46060</v>
      </c>
      <c r="S45" s="67" t="s">
        <v>37</v>
      </c>
      <c r="T45" s="67"/>
      <c r="U45" s="284"/>
      <c r="V45" s="284"/>
      <c r="W45" s="68" t="s">
        <v>256</v>
      </c>
      <c r="X45" s="64"/>
      <c r="AH45" s="73"/>
    </row>
    <row r="46" spans="1:34" s="69" customFormat="1" ht="95.1">
      <c r="A46" s="68" t="s">
        <v>257</v>
      </c>
      <c r="B46" s="64" t="s">
        <v>144</v>
      </c>
      <c r="C46" s="65">
        <v>8</v>
      </c>
      <c r="D46" s="65"/>
      <c r="E46" s="65"/>
      <c r="F46" s="65"/>
      <c r="G46" s="64" t="s">
        <v>90</v>
      </c>
      <c r="H46" s="64" t="s">
        <v>258</v>
      </c>
      <c r="I46" s="64"/>
      <c r="J46" s="64" t="s">
        <v>32</v>
      </c>
      <c r="K46" s="64" t="s">
        <v>259</v>
      </c>
      <c r="L46" s="64"/>
      <c r="M46" s="64"/>
      <c r="N46" s="64"/>
      <c r="O46" s="64"/>
      <c r="P46" s="64"/>
      <c r="Q46" s="280">
        <v>45894</v>
      </c>
      <c r="R46" s="280">
        <f>Q46+90</f>
        <v>45984</v>
      </c>
      <c r="S46" s="75" t="s">
        <v>260</v>
      </c>
      <c r="T46" s="75"/>
      <c r="U46" s="98"/>
      <c r="V46" s="98"/>
      <c r="W46" s="68" t="s">
        <v>261</v>
      </c>
      <c r="X46" s="64"/>
      <c r="AH46" s="73"/>
    </row>
    <row r="47" spans="1:34" s="69" customFormat="1" ht="342">
      <c r="A47" s="68" t="s">
        <v>262</v>
      </c>
      <c r="B47" s="64" t="s">
        <v>137</v>
      </c>
      <c r="C47" s="65">
        <v>8</v>
      </c>
      <c r="D47" s="65" t="s">
        <v>263</v>
      </c>
      <c r="E47" s="65"/>
      <c r="F47" s="65" t="s">
        <v>264</v>
      </c>
      <c r="G47" s="64"/>
      <c r="H47" s="71" t="s">
        <v>265</v>
      </c>
      <c r="I47" s="71"/>
      <c r="J47" s="64" t="s">
        <v>264</v>
      </c>
      <c r="K47" s="64" t="s">
        <v>266</v>
      </c>
      <c r="L47" s="64"/>
      <c r="M47" s="64"/>
      <c r="N47" s="64"/>
      <c r="O47" s="72"/>
      <c r="P47" s="72"/>
      <c r="Q47" s="280">
        <v>45929</v>
      </c>
      <c r="R47" s="280">
        <f>Q47+60</f>
        <v>45989</v>
      </c>
      <c r="S47" s="67" t="s">
        <v>37</v>
      </c>
      <c r="T47" s="67"/>
      <c r="U47" s="98"/>
      <c r="V47" s="98"/>
      <c r="W47" s="68" t="s">
        <v>267</v>
      </c>
      <c r="X47" s="64"/>
      <c r="AH47" s="73"/>
    </row>
    <row r="48" spans="1:34" s="69" customFormat="1" ht="132.94999999999999">
      <c r="A48" s="68" t="s">
        <v>139</v>
      </c>
      <c r="B48" s="64" t="s">
        <v>268</v>
      </c>
      <c r="C48" s="65">
        <v>8</v>
      </c>
      <c r="D48" s="65"/>
      <c r="E48" s="65"/>
      <c r="F48" s="65" t="s">
        <v>269</v>
      </c>
      <c r="G48" s="64"/>
      <c r="H48" s="71" t="s">
        <v>270</v>
      </c>
      <c r="I48" s="71"/>
      <c r="J48" s="64" t="s">
        <v>77</v>
      </c>
      <c r="K48" s="64" t="s">
        <v>33</v>
      </c>
      <c r="L48" s="64"/>
      <c r="M48" s="64"/>
      <c r="N48" s="64"/>
      <c r="O48" s="72"/>
      <c r="P48" s="72"/>
      <c r="Q48" s="280">
        <v>45930</v>
      </c>
      <c r="R48" s="280">
        <f>Q48+60</f>
        <v>45990</v>
      </c>
      <c r="S48" s="67" t="s">
        <v>37</v>
      </c>
      <c r="T48" s="67"/>
      <c r="U48" s="98"/>
      <c r="V48" s="98"/>
      <c r="W48" s="68" t="s">
        <v>271</v>
      </c>
      <c r="X48" s="64"/>
      <c r="AH48" s="73"/>
    </row>
    <row r="49" spans="1:34" s="69" customFormat="1" ht="33.950000000000003" customHeight="1">
      <c r="A49" s="68" t="s">
        <v>272</v>
      </c>
      <c r="B49" s="64" t="s">
        <v>144</v>
      </c>
      <c r="C49" s="65">
        <v>8</v>
      </c>
      <c r="D49" s="65"/>
      <c r="E49" s="65"/>
      <c r="F49" s="65"/>
      <c r="G49" s="64" t="s">
        <v>273</v>
      </c>
      <c r="H49" s="64" t="s">
        <v>274</v>
      </c>
      <c r="I49" s="64"/>
      <c r="J49" s="64" t="s">
        <v>32</v>
      </c>
      <c r="K49" s="64" t="s">
        <v>33</v>
      </c>
      <c r="L49" s="79" t="s">
        <v>186</v>
      </c>
      <c r="M49" s="79" t="s">
        <v>275</v>
      </c>
      <c r="N49" s="79" t="s">
        <v>64</v>
      </c>
      <c r="O49" s="79"/>
      <c r="P49" s="79"/>
      <c r="Q49" s="280">
        <v>45981</v>
      </c>
      <c r="R49" s="280">
        <f>Q49+67</f>
        <v>46048</v>
      </c>
      <c r="S49" s="75" t="s">
        <v>37</v>
      </c>
      <c r="T49" s="75"/>
      <c r="U49" s="98"/>
      <c r="V49" s="98"/>
      <c r="W49" s="68" t="s">
        <v>276</v>
      </c>
      <c r="X49" s="64"/>
      <c r="AH49" s="73"/>
    </row>
    <row r="50" spans="1:34" s="69" customFormat="1" ht="57">
      <c r="A50" s="251" t="s">
        <v>277</v>
      </c>
      <c r="B50" s="64" t="s">
        <v>278</v>
      </c>
      <c r="C50" s="65">
        <v>8</v>
      </c>
      <c r="D50" s="65" t="s">
        <v>50</v>
      </c>
      <c r="E50" s="65" t="s">
        <v>42</v>
      </c>
      <c r="F50" s="65" t="s">
        <v>43</v>
      </c>
      <c r="G50" s="64" t="s">
        <v>279</v>
      </c>
      <c r="H50" s="66" t="s">
        <v>280</v>
      </c>
      <c r="I50" s="66"/>
      <c r="J50" s="64" t="s">
        <v>32</v>
      </c>
      <c r="K50" s="64" t="s">
        <v>33</v>
      </c>
      <c r="L50" s="64" t="s">
        <v>111</v>
      </c>
      <c r="M50" s="64"/>
      <c r="N50" s="64"/>
      <c r="O50" s="64"/>
      <c r="P50" s="64"/>
      <c r="Q50" s="280">
        <v>46000</v>
      </c>
      <c r="R50" s="280">
        <f>Q50+50</f>
        <v>46050</v>
      </c>
      <c r="S50" s="75" t="s">
        <v>37</v>
      </c>
      <c r="T50" s="75"/>
      <c r="U50" s="98"/>
      <c r="V50" s="98"/>
      <c r="W50" s="68" t="s">
        <v>281</v>
      </c>
      <c r="X50" s="64"/>
      <c r="AH50" s="73"/>
    </row>
    <row r="51" spans="1:34" s="69" customFormat="1" ht="114">
      <c r="A51" s="68" t="s">
        <v>282</v>
      </c>
      <c r="B51" s="64" t="s">
        <v>144</v>
      </c>
      <c r="C51" s="65">
        <v>7</v>
      </c>
      <c r="D51" s="65" t="s">
        <v>76</v>
      </c>
      <c r="E51" s="65"/>
      <c r="F51" s="65" t="s">
        <v>283</v>
      </c>
      <c r="G51" s="64" t="s">
        <v>284</v>
      </c>
      <c r="H51" s="65" t="s">
        <v>283</v>
      </c>
      <c r="I51" s="66"/>
      <c r="J51" s="64" t="s">
        <v>32</v>
      </c>
      <c r="K51" s="64" t="s">
        <v>33</v>
      </c>
      <c r="L51" s="64" t="s">
        <v>285</v>
      </c>
      <c r="M51" s="64"/>
      <c r="N51" s="64"/>
      <c r="O51" s="64"/>
      <c r="P51" s="64"/>
      <c r="Q51" s="280">
        <v>46000</v>
      </c>
      <c r="R51" s="280">
        <f>Q51+10</f>
        <v>46010</v>
      </c>
      <c r="S51" s="67"/>
      <c r="T51" s="67"/>
      <c r="U51" s="98"/>
      <c r="V51" s="98"/>
      <c r="W51" s="68" t="s">
        <v>286</v>
      </c>
      <c r="X51" s="64"/>
      <c r="AH51" s="73"/>
    </row>
    <row r="52" spans="1:34" s="69" customFormat="1" ht="18.95">
      <c r="A52" s="68" t="s">
        <v>287</v>
      </c>
      <c r="B52" s="64" t="s">
        <v>144</v>
      </c>
      <c r="C52" s="65">
        <v>7</v>
      </c>
      <c r="D52" s="65" t="s">
        <v>288</v>
      </c>
      <c r="E52" s="65"/>
      <c r="F52" s="65" t="s">
        <v>45</v>
      </c>
      <c r="G52" s="64" t="s">
        <v>289</v>
      </c>
      <c r="H52" s="66" t="s">
        <v>290</v>
      </c>
      <c r="I52" s="66"/>
      <c r="J52" s="64" t="s">
        <v>32</v>
      </c>
      <c r="K52" s="64" t="s">
        <v>33</v>
      </c>
      <c r="L52" s="64" t="s">
        <v>175</v>
      </c>
      <c r="M52" s="64"/>
      <c r="N52" s="64"/>
      <c r="O52" s="72"/>
      <c r="P52" s="72"/>
      <c r="Q52" s="280">
        <v>45994</v>
      </c>
      <c r="R52" s="280">
        <f>Q52+35</f>
        <v>46029</v>
      </c>
      <c r="S52" s="67" t="s">
        <v>64</v>
      </c>
      <c r="T52" s="67"/>
      <c r="U52" s="98"/>
      <c r="V52" s="98"/>
      <c r="W52" s="68" t="s">
        <v>291</v>
      </c>
      <c r="X52" s="74"/>
      <c r="AH52" s="73"/>
    </row>
    <row r="53" spans="1:34" s="69" customFormat="1" ht="228.95" customHeight="1">
      <c r="A53" s="91" t="s">
        <v>292</v>
      </c>
      <c r="B53" s="64" t="s">
        <v>144</v>
      </c>
      <c r="C53" s="65">
        <v>7</v>
      </c>
      <c r="D53" s="65"/>
      <c r="E53" s="65"/>
      <c r="F53" s="65" t="s">
        <v>145</v>
      </c>
      <c r="G53" s="64"/>
      <c r="H53" s="64" t="s">
        <v>293</v>
      </c>
      <c r="I53" s="64"/>
      <c r="J53" s="64" t="s">
        <v>32</v>
      </c>
      <c r="K53" s="64" t="s">
        <v>33</v>
      </c>
      <c r="L53" s="64"/>
      <c r="M53" s="64"/>
      <c r="N53" s="64"/>
      <c r="O53" s="64"/>
      <c r="P53" s="64"/>
      <c r="Q53" s="280">
        <v>45992</v>
      </c>
      <c r="R53" s="280">
        <f>Q53+14</f>
        <v>46006</v>
      </c>
      <c r="S53" s="67"/>
      <c r="T53" s="67"/>
      <c r="U53" s="98"/>
      <c r="V53" s="98"/>
      <c r="W53" s="68" t="s">
        <v>294</v>
      </c>
      <c r="X53" s="64"/>
      <c r="AH53" s="73"/>
    </row>
    <row r="54" spans="1:34" s="69" customFormat="1" ht="18.95">
      <c r="A54" s="68" t="s">
        <v>295</v>
      </c>
      <c r="B54" s="64" t="s">
        <v>144</v>
      </c>
      <c r="C54" s="65">
        <v>7</v>
      </c>
      <c r="D54" s="65"/>
      <c r="E54" s="65"/>
      <c r="F54" s="65"/>
      <c r="G54" s="64"/>
      <c r="H54" s="66" t="s">
        <v>296</v>
      </c>
      <c r="I54" s="66"/>
      <c r="J54" s="64" t="s">
        <v>32</v>
      </c>
      <c r="K54" s="64" t="s">
        <v>297</v>
      </c>
      <c r="L54" s="64" t="s">
        <v>163</v>
      </c>
      <c r="M54" s="64"/>
      <c r="N54" s="64"/>
      <c r="O54" s="64"/>
      <c r="P54" s="64"/>
      <c r="Q54" s="280">
        <v>45894</v>
      </c>
      <c r="R54" s="280">
        <f>Q54+21</f>
        <v>45915</v>
      </c>
      <c r="S54" s="67"/>
      <c r="T54" s="67"/>
      <c r="U54" s="98"/>
      <c r="V54" s="98"/>
      <c r="W54" s="68" t="s">
        <v>298</v>
      </c>
      <c r="X54" s="64"/>
      <c r="AH54" s="73"/>
    </row>
    <row r="55" spans="1:34" s="69" customFormat="1" ht="38.1">
      <c r="A55" s="320" t="s">
        <v>299</v>
      </c>
      <c r="B55" s="64" t="s">
        <v>144</v>
      </c>
      <c r="C55" s="65">
        <v>7</v>
      </c>
      <c r="D55" s="65"/>
      <c r="E55" s="65"/>
      <c r="F55" s="65" t="s">
        <v>300</v>
      </c>
      <c r="G55" s="79" t="s">
        <v>105</v>
      </c>
      <c r="H55" s="79" t="s">
        <v>301</v>
      </c>
      <c r="I55" s="79"/>
      <c r="J55" s="79" t="s">
        <v>32</v>
      </c>
      <c r="K55" s="79" t="s">
        <v>302</v>
      </c>
      <c r="L55" s="79" t="s">
        <v>186</v>
      </c>
      <c r="M55" s="79"/>
      <c r="N55" s="79"/>
      <c r="O55" s="79"/>
      <c r="P55" s="79"/>
      <c r="Q55" s="280">
        <v>45930</v>
      </c>
      <c r="R55" s="280">
        <f>Q55+10</f>
        <v>45940</v>
      </c>
      <c r="S55" s="67" t="s">
        <v>37</v>
      </c>
      <c r="T55" s="67"/>
      <c r="U55" s="285"/>
      <c r="V55" s="285"/>
      <c r="W55" s="83" t="s">
        <v>303</v>
      </c>
      <c r="X55" s="79"/>
      <c r="AH55" s="73"/>
    </row>
    <row r="56" spans="1:34" s="69" customFormat="1" ht="18.95">
      <c r="A56" s="68" t="s">
        <v>304</v>
      </c>
      <c r="B56" s="64" t="s">
        <v>144</v>
      </c>
      <c r="C56" s="65">
        <v>7</v>
      </c>
      <c r="D56" s="65"/>
      <c r="E56" s="65"/>
      <c r="F56" s="65"/>
      <c r="G56" s="64" t="s">
        <v>305</v>
      </c>
      <c r="H56" s="64" t="s">
        <v>306</v>
      </c>
      <c r="I56" s="64"/>
      <c r="J56" s="64" t="s">
        <v>32</v>
      </c>
      <c r="K56" s="64" t="s">
        <v>307</v>
      </c>
      <c r="L56" s="64" t="s">
        <v>186</v>
      </c>
      <c r="M56" s="64"/>
      <c r="N56" s="64"/>
      <c r="O56" s="64"/>
      <c r="P56" s="64"/>
      <c r="Q56" s="280">
        <v>45930</v>
      </c>
      <c r="R56" s="280">
        <f>Q56+7</f>
        <v>45937</v>
      </c>
      <c r="S56" s="67"/>
      <c r="T56" s="67"/>
      <c r="U56" s="98"/>
      <c r="V56" s="98"/>
      <c r="W56" s="68" t="s">
        <v>308</v>
      </c>
      <c r="X56" s="64"/>
      <c r="AH56" s="73"/>
    </row>
    <row r="57" spans="1:34" s="69" customFormat="1" ht="18.95">
      <c r="A57" s="252" t="s">
        <v>309</v>
      </c>
      <c r="B57" s="64" t="s">
        <v>144</v>
      </c>
      <c r="C57" s="65">
        <v>7</v>
      </c>
      <c r="D57" s="65" t="s">
        <v>76</v>
      </c>
      <c r="E57" s="65"/>
      <c r="F57" s="65" t="s">
        <v>145</v>
      </c>
      <c r="G57" s="64"/>
      <c r="H57" s="64" t="s">
        <v>310</v>
      </c>
      <c r="I57" s="64"/>
      <c r="J57" s="64" t="s">
        <v>32</v>
      </c>
      <c r="K57" s="64" t="s">
        <v>311</v>
      </c>
      <c r="L57" s="64"/>
      <c r="M57" s="64"/>
      <c r="N57" s="64"/>
      <c r="O57" s="64"/>
      <c r="P57" s="64"/>
      <c r="Q57" s="280">
        <v>45931</v>
      </c>
      <c r="R57" s="280">
        <f>Q57+7</f>
        <v>45938</v>
      </c>
      <c r="S57" s="67"/>
      <c r="T57" s="67"/>
      <c r="U57" s="98"/>
      <c r="V57" s="98"/>
      <c r="W57" s="68" t="s">
        <v>312</v>
      </c>
      <c r="X57" s="64"/>
      <c r="AH57" s="73"/>
    </row>
    <row r="58" spans="1:34" s="69" customFormat="1" ht="18.95">
      <c r="A58" s="68" t="s">
        <v>313</v>
      </c>
      <c r="B58" s="64" t="s">
        <v>144</v>
      </c>
      <c r="C58" s="65">
        <v>7</v>
      </c>
      <c r="D58" s="65" t="s">
        <v>178</v>
      </c>
      <c r="E58" s="65"/>
      <c r="F58" s="65"/>
      <c r="G58" s="64"/>
      <c r="H58" s="64" t="s">
        <v>314</v>
      </c>
      <c r="I58" s="64"/>
      <c r="J58" s="64"/>
      <c r="K58" s="64" t="s">
        <v>315</v>
      </c>
      <c r="L58" s="64"/>
      <c r="M58" s="64"/>
      <c r="N58" s="64"/>
      <c r="O58" s="64"/>
      <c r="P58" s="64"/>
      <c r="Q58" s="280">
        <v>45972</v>
      </c>
      <c r="R58" s="280">
        <f>Q58+10</f>
        <v>45982</v>
      </c>
      <c r="S58" s="67"/>
      <c r="T58" s="67"/>
      <c r="U58" s="98"/>
      <c r="V58" s="98"/>
      <c r="W58" s="68" t="s">
        <v>316</v>
      </c>
      <c r="X58" s="64"/>
      <c r="AH58" s="73"/>
    </row>
    <row r="59" spans="1:34" s="69" customFormat="1" ht="152.1">
      <c r="A59" s="253" t="s">
        <v>317</v>
      </c>
      <c r="B59" s="64" t="s">
        <v>199</v>
      </c>
      <c r="C59" s="65">
        <v>7</v>
      </c>
      <c r="D59" s="65" t="s">
        <v>28</v>
      </c>
      <c r="E59" s="65" t="s">
        <v>318</v>
      </c>
      <c r="F59" s="65"/>
      <c r="G59" s="64"/>
      <c r="H59" s="64" t="s">
        <v>319</v>
      </c>
      <c r="I59" s="64"/>
      <c r="J59" s="64" t="s">
        <v>32</v>
      </c>
      <c r="K59" s="64" t="s">
        <v>33</v>
      </c>
      <c r="L59" s="79" t="s">
        <v>320</v>
      </c>
      <c r="M59" s="79"/>
      <c r="N59" s="79"/>
      <c r="O59" s="79"/>
      <c r="P59" s="79"/>
      <c r="Q59" s="280">
        <v>45916</v>
      </c>
      <c r="R59" s="280">
        <f>Q59+7</f>
        <v>45923</v>
      </c>
      <c r="S59" s="67" t="s">
        <v>37</v>
      </c>
      <c r="T59" s="67"/>
      <c r="U59" s="98"/>
      <c r="V59" s="98"/>
      <c r="W59" s="68" t="s">
        <v>321</v>
      </c>
      <c r="X59" s="64"/>
      <c r="AH59" s="73"/>
    </row>
    <row r="60" spans="1:34" s="69" customFormat="1" ht="38.1">
      <c r="A60" s="251" t="s">
        <v>322</v>
      </c>
      <c r="B60" s="64" t="s">
        <v>104</v>
      </c>
      <c r="C60" s="65">
        <v>7</v>
      </c>
      <c r="D60" s="65" t="s">
        <v>41</v>
      </c>
      <c r="E60" s="65" t="s">
        <v>42</v>
      </c>
      <c r="F60" s="65" t="s">
        <v>43</v>
      </c>
      <c r="G60" s="64" t="s">
        <v>323</v>
      </c>
      <c r="H60" s="66" t="s">
        <v>324</v>
      </c>
      <c r="I60" s="66">
        <v>47</v>
      </c>
      <c r="J60" s="64" t="s">
        <v>32</v>
      </c>
      <c r="K60" s="64" t="s">
        <v>33</v>
      </c>
      <c r="L60" s="64" t="s">
        <v>46</v>
      </c>
      <c r="M60" s="64"/>
      <c r="N60" s="64"/>
      <c r="O60" s="64"/>
      <c r="P60" s="64"/>
      <c r="Q60" s="280">
        <v>45915</v>
      </c>
      <c r="R60" s="280">
        <f>Q60+30</f>
        <v>45945</v>
      </c>
      <c r="S60" s="67" t="s">
        <v>37</v>
      </c>
      <c r="T60" s="67"/>
      <c r="U60" s="98"/>
      <c r="V60" s="98"/>
      <c r="W60" s="68" t="s">
        <v>325</v>
      </c>
      <c r="X60" s="64"/>
      <c r="AH60" s="73"/>
    </row>
    <row r="61" spans="1:34" s="69" customFormat="1" ht="38.1">
      <c r="A61" s="69" t="s">
        <v>326</v>
      </c>
      <c r="B61" s="64" t="s">
        <v>144</v>
      </c>
      <c r="C61" s="65">
        <v>7</v>
      </c>
      <c r="D61" s="65"/>
      <c r="E61" s="65"/>
      <c r="F61" s="65"/>
      <c r="G61" s="64"/>
      <c r="H61" s="251" t="s">
        <v>327</v>
      </c>
      <c r="I61" s="66"/>
      <c r="J61" s="64" t="s">
        <v>32</v>
      </c>
      <c r="K61" s="64" t="s">
        <v>33</v>
      </c>
      <c r="L61" s="64" t="s">
        <v>46</v>
      </c>
      <c r="M61" s="64"/>
      <c r="N61" s="64"/>
      <c r="O61" s="64"/>
      <c r="P61" s="64"/>
      <c r="Q61" s="280">
        <v>46000</v>
      </c>
      <c r="R61" s="280">
        <f>Q61+7</f>
        <v>46007</v>
      </c>
      <c r="S61" s="67"/>
      <c r="T61" s="67"/>
      <c r="U61" s="98"/>
      <c r="V61" s="98"/>
      <c r="W61" s="68" t="s">
        <v>328</v>
      </c>
      <c r="X61" s="64"/>
      <c r="AH61" s="73"/>
    </row>
    <row r="62" spans="1:34" s="69" customFormat="1" ht="398.1">
      <c r="A62" s="68"/>
      <c r="B62" s="64" t="s">
        <v>199</v>
      </c>
      <c r="C62" s="65">
        <v>7</v>
      </c>
      <c r="D62" s="65"/>
      <c r="E62" s="65"/>
      <c r="F62" s="65" t="s">
        <v>329</v>
      </c>
      <c r="G62" s="64" t="s">
        <v>330</v>
      </c>
      <c r="H62" s="64" t="s">
        <v>331</v>
      </c>
      <c r="I62" s="64"/>
      <c r="J62" s="64" t="s">
        <v>32</v>
      </c>
      <c r="K62" s="64" t="s">
        <v>33</v>
      </c>
      <c r="L62" s="64" t="s">
        <v>332</v>
      </c>
      <c r="M62" s="64" t="s">
        <v>333</v>
      </c>
      <c r="N62" s="64" t="s">
        <v>64</v>
      </c>
      <c r="O62" s="64"/>
      <c r="P62" s="64"/>
      <c r="Q62" s="280">
        <v>45929</v>
      </c>
      <c r="R62" s="280">
        <f>Q62+21</f>
        <v>45950</v>
      </c>
      <c r="S62" s="75" t="s">
        <v>37</v>
      </c>
      <c r="T62" s="75"/>
      <c r="U62" s="98"/>
      <c r="V62" s="98"/>
      <c r="W62" s="68" t="s">
        <v>334</v>
      </c>
      <c r="X62" s="64"/>
      <c r="AH62" s="73"/>
    </row>
    <row r="63" spans="1:34" s="69" customFormat="1" ht="38.1">
      <c r="A63" s="68" t="s">
        <v>335</v>
      </c>
      <c r="B63" s="64" t="s">
        <v>144</v>
      </c>
      <c r="C63" s="65">
        <v>7</v>
      </c>
      <c r="D63" s="65" t="s">
        <v>76</v>
      </c>
      <c r="E63" s="65"/>
      <c r="F63" s="65" t="s">
        <v>336</v>
      </c>
      <c r="G63" s="64"/>
      <c r="H63" s="64" t="s">
        <v>337</v>
      </c>
      <c r="I63" s="64"/>
      <c r="J63" s="64" t="s">
        <v>32</v>
      </c>
      <c r="K63" s="64" t="s">
        <v>33</v>
      </c>
      <c r="L63" s="64"/>
      <c r="M63" s="78"/>
      <c r="N63" s="78"/>
      <c r="O63" s="78"/>
      <c r="P63" s="64"/>
      <c r="Q63" s="280">
        <v>45947</v>
      </c>
      <c r="R63" s="280">
        <f>Q63+4</f>
        <v>45951</v>
      </c>
      <c r="S63" s="67"/>
      <c r="T63" s="67"/>
      <c r="U63" s="98"/>
      <c r="V63" s="98"/>
      <c r="W63" s="68" t="s">
        <v>338</v>
      </c>
      <c r="X63" s="64"/>
      <c r="AH63" s="73"/>
    </row>
    <row r="64" spans="1:34" s="69" customFormat="1" ht="95.1">
      <c r="A64" s="68" t="s">
        <v>339</v>
      </c>
      <c r="B64" s="64" t="s">
        <v>137</v>
      </c>
      <c r="C64" s="65">
        <v>7</v>
      </c>
      <c r="D64" s="65"/>
      <c r="E64" s="65"/>
      <c r="F64" s="65" t="s">
        <v>300</v>
      </c>
      <c r="G64" s="64"/>
      <c r="H64" s="64" t="s">
        <v>340</v>
      </c>
      <c r="I64" s="64"/>
      <c r="J64" s="64" t="s">
        <v>32</v>
      </c>
      <c r="K64" s="64" t="s">
        <v>341</v>
      </c>
      <c r="L64" s="64" t="s">
        <v>163</v>
      </c>
      <c r="M64" s="64"/>
      <c r="N64" s="64"/>
      <c r="O64" s="64"/>
      <c r="P64" s="64"/>
      <c r="Q64" s="280">
        <v>45861</v>
      </c>
      <c r="R64" s="280">
        <f>Q64+90</f>
        <v>45951</v>
      </c>
      <c r="S64" s="75" t="s">
        <v>37</v>
      </c>
      <c r="T64" s="75"/>
      <c r="U64" s="284"/>
      <c r="V64" s="284"/>
      <c r="W64" s="68" t="s">
        <v>342</v>
      </c>
      <c r="X64" s="64"/>
      <c r="AH64" s="73"/>
    </row>
    <row r="65" spans="1:34" s="69" customFormat="1" ht="18.95">
      <c r="A65" s="68" t="s">
        <v>343</v>
      </c>
      <c r="B65" s="64" t="s">
        <v>144</v>
      </c>
      <c r="C65" s="65">
        <v>7</v>
      </c>
      <c r="D65" s="65"/>
      <c r="E65" s="65"/>
      <c r="F65" s="65"/>
      <c r="G65" s="64"/>
      <c r="H65" s="64" t="s">
        <v>344</v>
      </c>
      <c r="I65" s="64"/>
      <c r="J65" s="64" t="s">
        <v>32</v>
      </c>
      <c r="K65" s="64" t="s">
        <v>33</v>
      </c>
      <c r="L65" s="64" t="s">
        <v>345</v>
      </c>
      <c r="M65" s="64"/>
      <c r="N65" s="64"/>
      <c r="O65" s="64"/>
      <c r="P65" s="64"/>
      <c r="Q65" s="280">
        <v>45912</v>
      </c>
      <c r="R65" s="280">
        <f>Q65+40</f>
        <v>45952</v>
      </c>
      <c r="S65" s="67"/>
      <c r="T65" s="67"/>
      <c r="U65" s="98"/>
      <c r="V65" s="98"/>
      <c r="W65" s="68"/>
      <c r="X65" s="64"/>
      <c r="AH65" s="73"/>
    </row>
    <row r="66" spans="1:34" s="69" customFormat="1" ht="18.95">
      <c r="A66" s="68" t="s">
        <v>346</v>
      </c>
      <c r="B66" s="64" t="s">
        <v>144</v>
      </c>
      <c r="C66" s="65">
        <v>7</v>
      </c>
      <c r="D66" s="65"/>
      <c r="E66" s="65"/>
      <c r="F66" s="65" t="s">
        <v>347</v>
      </c>
      <c r="G66" s="64" t="s">
        <v>348</v>
      </c>
      <c r="H66" s="65" t="s">
        <v>349</v>
      </c>
      <c r="I66" s="66"/>
      <c r="J66" s="64" t="s">
        <v>32</v>
      </c>
      <c r="K66" s="64" t="s">
        <v>33</v>
      </c>
      <c r="L66" s="64" t="s">
        <v>350</v>
      </c>
      <c r="M66" s="64"/>
      <c r="N66" s="64"/>
      <c r="O66" s="64"/>
      <c r="P66" s="64"/>
      <c r="Q66" s="280">
        <v>45947</v>
      </c>
      <c r="R66" s="280">
        <f>Q66+7</f>
        <v>45954</v>
      </c>
      <c r="S66" s="67"/>
      <c r="T66" s="67"/>
      <c r="U66" s="98"/>
      <c r="V66" s="98"/>
      <c r="W66" s="68" t="s">
        <v>351</v>
      </c>
      <c r="X66" s="64"/>
      <c r="AH66" s="73"/>
    </row>
    <row r="67" spans="1:34" s="69" customFormat="1" ht="204" customHeight="1">
      <c r="A67" s="68" t="s">
        <v>352</v>
      </c>
      <c r="B67" s="64" t="s">
        <v>144</v>
      </c>
      <c r="C67" s="65">
        <v>7</v>
      </c>
      <c r="D67" s="65"/>
      <c r="E67" s="65"/>
      <c r="F67" s="65"/>
      <c r="G67" s="64" t="s">
        <v>353</v>
      </c>
      <c r="H67" s="64" t="s">
        <v>354</v>
      </c>
      <c r="I67" s="64"/>
      <c r="J67" s="64" t="s">
        <v>32</v>
      </c>
      <c r="K67" s="64" t="s">
        <v>33</v>
      </c>
      <c r="L67" s="64" t="s">
        <v>355</v>
      </c>
      <c r="M67" s="64"/>
      <c r="N67" s="64"/>
      <c r="O67" s="64"/>
      <c r="P67" s="64"/>
      <c r="Q67" s="280">
        <v>45947</v>
      </c>
      <c r="R67" s="280">
        <f>Q67+7</f>
        <v>45954</v>
      </c>
      <c r="S67" s="67"/>
      <c r="T67" s="67"/>
      <c r="U67" s="98"/>
      <c r="V67" s="98"/>
      <c r="W67" s="68" t="s">
        <v>356</v>
      </c>
      <c r="X67" s="64"/>
      <c r="AH67" s="73"/>
    </row>
    <row r="68" spans="1:34" s="69" customFormat="1" ht="117.95" customHeight="1">
      <c r="A68" s="68" t="s">
        <v>357</v>
      </c>
      <c r="B68" s="64" t="s">
        <v>144</v>
      </c>
      <c r="C68" s="65">
        <v>7</v>
      </c>
      <c r="D68" s="65"/>
      <c r="E68" s="65"/>
      <c r="F68" s="65" t="s">
        <v>76</v>
      </c>
      <c r="G68" s="64" t="s">
        <v>358</v>
      </c>
      <c r="H68" s="66" t="s">
        <v>209</v>
      </c>
      <c r="I68" s="66"/>
      <c r="J68" s="64" t="s">
        <v>359</v>
      </c>
      <c r="K68" s="64" t="s">
        <v>33</v>
      </c>
      <c r="L68" s="64" t="s">
        <v>360</v>
      </c>
      <c r="M68" s="64"/>
      <c r="N68" s="64"/>
      <c r="O68" s="64"/>
      <c r="P68" s="64"/>
      <c r="Q68" s="280">
        <v>45947</v>
      </c>
      <c r="R68" s="280">
        <f>Q68+10</f>
        <v>45957</v>
      </c>
      <c r="S68" s="67"/>
      <c r="T68" s="67"/>
      <c r="U68" s="98"/>
      <c r="V68" s="98"/>
      <c r="W68" s="68" t="s">
        <v>361</v>
      </c>
      <c r="X68" s="64"/>
      <c r="AH68" s="73"/>
    </row>
    <row r="69" spans="1:34" s="69" customFormat="1" ht="80.099999999999994" customHeight="1">
      <c r="A69" s="68" t="s">
        <v>362</v>
      </c>
      <c r="B69" s="64" t="s">
        <v>144</v>
      </c>
      <c r="C69" s="65">
        <v>7</v>
      </c>
      <c r="D69" s="65" t="s">
        <v>76</v>
      </c>
      <c r="E69" s="65"/>
      <c r="F69" s="65" t="s">
        <v>43</v>
      </c>
      <c r="G69" s="64"/>
      <c r="H69" s="66" t="s">
        <v>363</v>
      </c>
      <c r="I69" s="66"/>
      <c r="J69" s="64" t="s">
        <v>32</v>
      </c>
      <c r="K69" s="64" t="s">
        <v>33</v>
      </c>
      <c r="L69" s="64" t="s">
        <v>364</v>
      </c>
      <c r="M69" s="64"/>
      <c r="N69" s="64"/>
      <c r="O69" s="64"/>
      <c r="P69" s="64"/>
      <c r="Q69" s="280">
        <v>45947</v>
      </c>
      <c r="R69" s="280">
        <f>Q69+12</f>
        <v>45959</v>
      </c>
      <c r="S69" s="67"/>
      <c r="T69" s="67"/>
      <c r="U69" s="98"/>
      <c r="V69" s="98"/>
      <c r="W69" s="68" t="s">
        <v>365</v>
      </c>
      <c r="X69" s="64"/>
      <c r="AH69" s="73"/>
    </row>
    <row r="70" spans="1:34" s="69" customFormat="1" ht="80.099999999999994" customHeight="1">
      <c r="A70" s="68" t="s">
        <v>366</v>
      </c>
      <c r="B70" s="64" t="s">
        <v>144</v>
      </c>
      <c r="C70" s="65">
        <v>7</v>
      </c>
      <c r="D70" s="65"/>
      <c r="E70" s="65"/>
      <c r="F70" s="65" t="s">
        <v>145</v>
      </c>
      <c r="G70" s="64" t="s">
        <v>367</v>
      </c>
      <c r="H70" s="64" t="s">
        <v>368</v>
      </c>
      <c r="I70" s="64"/>
      <c r="J70" s="64" t="s">
        <v>32</v>
      </c>
      <c r="K70" s="64" t="s">
        <v>369</v>
      </c>
      <c r="L70" s="64"/>
      <c r="M70" s="64"/>
      <c r="N70" s="64"/>
      <c r="O70" s="64"/>
      <c r="P70" s="64"/>
      <c r="Q70" s="280">
        <v>45945</v>
      </c>
      <c r="R70" s="280">
        <f>Q70+14</f>
        <v>45959</v>
      </c>
      <c r="S70" s="67"/>
      <c r="T70" s="67"/>
      <c r="U70" s="98"/>
      <c r="V70" s="98"/>
      <c r="W70" s="68" t="s">
        <v>370</v>
      </c>
      <c r="X70" s="64"/>
      <c r="AH70" s="73"/>
    </row>
    <row r="71" spans="1:34" s="69" customFormat="1" ht="80.099999999999994" customHeight="1">
      <c r="A71" s="68" t="s">
        <v>371</v>
      </c>
      <c r="B71" s="64" t="s">
        <v>144</v>
      </c>
      <c r="C71" s="65">
        <v>7</v>
      </c>
      <c r="D71" s="65"/>
      <c r="E71" s="65"/>
      <c r="F71" s="65" t="s">
        <v>145</v>
      </c>
      <c r="G71" s="64" t="s">
        <v>372</v>
      </c>
      <c r="H71" s="64" t="s">
        <v>373</v>
      </c>
      <c r="I71" s="64"/>
      <c r="J71" s="64" t="s">
        <v>32</v>
      </c>
      <c r="K71" s="64" t="s">
        <v>33</v>
      </c>
      <c r="L71" s="64"/>
      <c r="M71" s="64"/>
      <c r="N71" s="64"/>
      <c r="O71" s="64"/>
      <c r="P71" s="64"/>
      <c r="Q71" s="280">
        <v>45915</v>
      </c>
      <c r="R71" s="280">
        <f>Q71+45</f>
        <v>45960</v>
      </c>
      <c r="S71" s="67"/>
      <c r="T71" s="67"/>
      <c r="U71" s="98"/>
      <c r="V71" s="98"/>
      <c r="W71" s="68" t="s">
        <v>374</v>
      </c>
      <c r="X71" s="64"/>
      <c r="AH71" s="73"/>
    </row>
    <row r="72" spans="1:34" s="69" customFormat="1" ht="80.099999999999994" customHeight="1">
      <c r="A72" s="68" t="s">
        <v>375</v>
      </c>
      <c r="B72" s="64" t="s">
        <v>144</v>
      </c>
      <c r="C72" s="65">
        <v>7</v>
      </c>
      <c r="D72" s="65"/>
      <c r="E72" s="65"/>
      <c r="F72" s="65"/>
      <c r="G72" s="64" t="s">
        <v>51</v>
      </c>
      <c r="H72" s="64" t="s">
        <v>376</v>
      </c>
      <c r="I72" s="64"/>
      <c r="J72" s="64" t="s">
        <v>32</v>
      </c>
      <c r="K72" s="64" t="s">
        <v>33</v>
      </c>
      <c r="L72" s="64" t="s">
        <v>377</v>
      </c>
      <c r="M72" s="64"/>
      <c r="N72" s="64"/>
      <c r="O72" s="64"/>
      <c r="P72" s="64"/>
      <c r="Q72" s="280">
        <v>45947</v>
      </c>
      <c r="R72" s="280">
        <f>Q72+14</f>
        <v>45961</v>
      </c>
      <c r="S72" s="67"/>
      <c r="T72" s="67"/>
      <c r="U72" s="98"/>
      <c r="V72" s="98"/>
      <c r="W72" s="68" t="s">
        <v>378</v>
      </c>
      <c r="X72" s="64"/>
      <c r="AH72" s="73"/>
    </row>
    <row r="73" spans="1:34" s="69" customFormat="1" ht="80.099999999999994" customHeight="1">
      <c r="A73" s="255" t="s">
        <v>379</v>
      </c>
      <c r="B73" s="64" t="s">
        <v>380</v>
      </c>
      <c r="C73" s="65">
        <v>7</v>
      </c>
      <c r="D73" s="65"/>
      <c r="E73" s="65"/>
      <c r="F73" s="65"/>
      <c r="G73" s="64"/>
      <c r="H73" s="71" t="s">
        <v>381</v>
      </c>
      <c r="I73" s="71"/>
      <c r="J73" s="64" t="s">
        <v>32</v>
      </c>
      <c r="K73" s="64" t="s">
        <v>133</v>
      </c>
      <c r="L73" s="64"/>
      <c r="M73" s="64"/>
      <c r="N73" s="64"/>
      <c r="O73" s="72"/>
      <c r="P73" s="72"/>
      <c r="Q73" s="280">
        <v>45959</v>
      </c>
      <c r="R73" s="280">
        <f>Q73+7</f>
        <v>45966</v>
      </c>
      <c r="S73" s="67" t="s">
        <v>260</v>
      </c>
      <c r="T73" s="67"/>
      <c r="U73" s="98"/>
      <c r="V73" s="98"/>
      <c r="W73" s="68" t="s">
        <v>382</v>
      </c>
      <c r="X73" s="64"/>
      <c r="AH73" s="73"/>
    </row>
    <row r="74" spans="1:34" s="69" customFormat="1" ht="80.099999999999994" customHeight="1">
      <c r="A74" s="68" t="s">
        <v>383</v>
      </c>
      <c r="B74" s="64" t="s">
        <v>104</v>
      </c>
      <c r="C74" s="65">
        <v>7</v>
      </c>
      <c r="D74" s="65"/>
      <c r="E74" s="65"/>
      <c r="F74" s="65" t="s">
        <v>32</v>
      </c>
      <c r="G74" s="64" t="s">
        <v>384</v>
      </c>
      <c r="H74" s="64" t="s">
        <v>385</v>
      </c>
      <c r="I74" s="64"/>
      <c r="J74" s="64" t="s">
        <v>32</v>
      </c>
      <c r="K74" s="64" t="s">
        <v>386</v>
      </c>
      <c r="L74" s="64" t="s">
        <v>111</v>
      </c>
      <c r="M74" s="64"/>
      <c r="N74" s="64"/>
      <c r="O74" s="64"/>
      <c r="P74" s="64"/>
      <c r="Q74" s="280">
        <v>45947</v>
      </c>
      <c r="R74" s="280">
        <f>Q74+20</f>
        <v>45967</v>
      </c>
      <c r="S74" s="75"/>
      <c r="T74" s="75"/>
      <c r="U74" s="98"/>
      <c r="V74" s="98"/>
      <c r="W74" s="68" t="s">
        <v>387</v>
      </c>
      <c r="X74" s="64"/>
      <c r="AH74" s="73"/>
    </row>
    <row r="75" spans="1:34" s="69" customFormat="1" ht="80.099999999999994" customHeight="1">
      <c r="A75" s="68" t="s">
        <v>388</v>
      </c>
      <c r="B75" s="64" t="s">
        <v>144</v>
      </c>
      <c r="C75" s="65">
        <v>7</v>
      </c>
      <c r="D75" s="65"/>
      <c r="E75" s="65"/>
      <c r="F75" s="65" t="s">
        <v>161</v>
      </c>
      <c r="G75" s="64"/>
      <c r="H75" s="66" t="s">
        <v>389</v>
      </c>
      <c r="I75" s="66"/>
      <c r="J75" s="64" t="s">
        <v>32</v>
      </c>
      <c r="K75" s="64" t="s">
        <v>120</v>
      </c>
      <c r="L75" s="64" t="s">
        <v>163</v>
      </c>
      <c r="M75" s="64"/>
      <c r="N75" s="64"/>
      <c r="O75" s="64"/>
      <c r="P75" s="64"/>
      <c r="Q75" s="280">
        <v>45947</v>
      </c>
      <c r="R75" s="280">
        <f>Q75+21</f>
        <v>45968</v>
      </c>
      <c r="S75" s="75" t="s">
        <v>93</v>
      </c>
      <c r="T75" s="75"/>
      <c r="U75" s="98"/>
      <c r="V75" s="98"/>
      <c r="W75" s="68" t="s">
        <v>390</v>
      </c>
      <c r="X75" s="64"/>
      <c r="AH75" s="73"/>
    </row>
    <row r="76" spans="1:34" s="69" customFormat="1" ht="18.95">
      <c r="A76" s="68" t="s">
        <v>391</v>
      </c>
      <c r="B76" s="64" t="s">
        <v>144</v>
      </c>
      <c r="C76" s="65">
        <v>7</v>
      </c>
      <c r="D76" s="65" t="s">
        <v>178</v>
      </c>
      <c r="E76" s="65"/>
      <c r="F76" s="65" t="s">
        <v>347</v>
      </c>
      <c r="G76" s="64" t="s">
        <v>392</v>
      </c>
      <c r="H76" s="66" t="s">
        <v>393</v>
      </c>
      <c r="I76" s="66"/>
      <c r="J76" s="64" t="s">
        <v>32</v>
      </c>
      <c r="K76" s="64" t="s">
        <v>394</v>
      </c>
      <c r="L76" s="64" t="s">
        <v>46</v>
      </c>
      <c r="M76" s="64"/>
      <c r="N76" s="64"/>
      <c r="O76" s="64"/>
      <c r="P76" s="64"/>
      <c r="Q76" s="280">
        <v>45960</v>
      </c>
      <c r="R76" s="280">
        <f>Q76+14</f>
        <v>45974</v>
      </c>
      <c r="S76" s="67"/>
      <c r="T76" s="67"/>
      <c r="U76" s="98"/>
      <c r="V76" s="98"/>
      <c r="W76" s="104" t="s">
        <v>395</v>
      </c>
      <c r="X76" s="64"/>
      <c r="AH76" s="73"/>
    </row>
    <row r="77" spans="1:34" s="69" customFormat="1" ht="80.099999999999994" customHeight="1">
      <c r="A77" s="68" t="s">
        <v>396</v>
      </c>
      <c r="B77" s="64" t="s">
        <v>144</v>
      </c>
      <c r="C77" s="65">
        <v>7</v>
      </c>
      <c r="D77" s="65"/>
      <c r="E77" s="65"/>
      <c r="F77" s="65" t="s">
        <v>161</v>
      </c>
      <c r="G77" s="64"/>
      <c r="H77" s="66" t="s">
        <v>397</v>
      </c>
      <c r="I77" s="66"/>
      <c r="J77" s="64" t="s">
        <v>32</v>
      </c>
      <c r="K77" s="64" t="s">
        <v>120</v>
      </c>
      <c r="L77" s="64" t="s">
        <v>163</v>
      </c>
      <c r="M77" s="64"/>
      <c r="N77" s="64"/>
      <c r="O77" s="64"/>
      <c r="P77" s="64"/>
      <c r="Q77" s="280">
        <v>45947</v>
      </c>
      <c r="R77" s="280">
        <f>Q77+30</f>
        <v>45977</v>
      </c>
      <c r="S77" s="75" t="s">
        <v>260</v>
      </c>
      <c r="T77" s="75"/>
      <c r="U77" s="98"/>
      <c r="V77" s="98"/>
      <c r="W77" s="68" t="s">
        <v>398</v>
      </c>
      <c r="X77" s="64"/>
      <c r="AH77" s="73"/>
    </row>
    <row r="78" spans="1:34" s="69" customFormat="1" ht="80.099999999999994" customHeight="1">
      <c r="A78" s="68" t="s">
        <v>399</v>
      </c>
      <c r="B78" s="64" t="s">
        <v>137</v>
      </c>
      <c r="C78" s="65">
        <v>7</v>
      </c>
      <c r="D78" s="65"/>
      <c r="E78" s="65"/>
      <c r="F78" s="65"/>
      <c r="G78" s="64" t="s">
        <v>400</v>
      </c>
      <c r="H78" s="64" t="s">
        <v>401</v>
      </c>
      <c r="I78" s="64"/>
      <c r="J78" s="64" t="s">
        <v>32</v>
      </c>
      <c r="K78" s="64" t="s">
        <v>33</v>
      </c>
      <c r="L78" s="64" t="s">
        <v>71</v>
      </c>
      <c r="M78" s="64" t="s">
        <v>134</v>
      </c>
      <c r="N78" s="64" t="s">
        <v>64</v>
      </c>
      <c r="O78" s="64"/>
      <c r="P78" s="64"/>
      <c r="Q78" s="280">
        <v>45932</v>
      </c>
      <c r="R78" s="280">
        <f>Q78+45</f>
        <v>45977</v>
      </c>
      <c r="S78" s="75" t="s">
        <v>37</v>
      </c>
      <c r="T78" s="75"/>
      <c r="U78" s="98"/>
      <c r="V78" s="98"/>
      <c r="W78" s="68" t="s">
        <v>402</v>
      </c>
      <c r="X78" s="64"/>
      <c r="AH78" s="73"/>
    </row>
    <row r="79" spans="1:34" s="69" customFormat="1" ht="80.099999999999994" customHeight="1">
      <c r="A79" s="68" t="s">
        <v>403</v>
      </c>
      <c r="B79" s="64" t="s">
        <v>26</v>
      </c>
      <c r="C79" s="65">
        <v>7</v>
      </c>
      <c r="D79" s="65" t="s">
        <v>404</v>
      </c>
      <c r="E79" s="65"/>
      <c r="F79" s="65" t="s">
        <v>77</v>
      </c>
      <c r="G79" s="64" t="s">
        <v>405</v>
      </c>
      <c r="H79" s="66" t="s">
        <v>406</v>
      </c>
      <c r="I79" s="66"/>
      <c r="J79" s="64" t="s">
        <v>77</v>
      </c>
      <c r="K79" s="64" t="s">
        <v>33</v>
      </c>
      <c r="L79" s="64" t="s">
        <v>407</v>
      </c>
      <c r="M79" s="64" t="s">
        <v>408</v>
      </c>
      <c r="N79" s="64" t="s">
        <v>82</v>
      </c>
      <c r="O79" s="64"/>
      <c r="P79" s="64"/>
      <c r="Q79" s="280">
        <v>45932</v>
      </c>
      <c r="R79" s="280">
        <f>Q79+45</f>
        <v>45977</v>
      </c>
      <c r="S79" s="67" t="s">
        <v>37</v>
      </c>
      <c r="T79" s="67"/>
      <c r="U79" s="98"/>
      <c r="V79" s="98"/>
      <c r="W79" s="68" t="s">
        <v>409</v>
      </c>
      <c r="X79" s="64" t="s">
        <v>410</v>
      </c>
      <c r="AH79" s="73"/>
    </row>
    <row r="80" spans="1:34" s="69" customFormat="1" ht="80.099999999999994" customHeight="1">
      <c r="A80" s="68" t="s">
        <v>411</v>
      </c>
      <c r="B80" s="64" t="s">
        <v>144</v>
      </c>
      <c r="C80" s="65">
        <v>7</v>
      </c>
      <c r="D80" s="65"/>
      <c r="E80" s="65"/>
      <c r="F80" s="65" t="s">
        <v>145</v>
      </c>
      <c r="G80" s="64" t="s">
        <v>183</v>
      </c>
      <c r="H80" s="64" t="s">
        <v>412</v>
      </c>
      <c r="I80" s="64"/>
      <c r="J80" s="64" t="s">
        <v>32</v>
      </c>
      <c r="K80" s="64" t="s">
        <v>33</v>
      </c>
      <c r="L80" s="64"/>
      <c r="M80" s="64"/>
      <c r="N80" s="64"/>
      <c r="O80" s="64"/>
      <c r="P80" s="64"/>
      <c r="Q80" s="280">
        <v>45947</v>
      </c>
      <c r="R80" s="280">
        <f>Q80+35</f>
        <v>45982</v>
      </c>
      <c r="S80" s="67"/>
      <c r="T80" s="67"/>
      <c r="U80" s="98"/>
      <c r="V80" s="98"/>
      <c r="W80" s="68" t="s">
        <v>413</v>
      </c>
      <c r="X80" s="64"/>
      <c r="AH80" s="73"/>
    </row>
    <row r="81" spans="1:34" s="69" customFormat="1" ht="80.099999999999994" customHeight="1">
      <c r="A81" s="68" t="s">
        <v>414</v>
      </c>
      <c r="B81" s="64" t="s">
        <v>137</v>
      </c>
      <c r="C81" s="65">
        <v>7</v>
      </c>
      <c r="D81" s="65" t="s">
        <v>28</v>
      </c>
      <c r="E81" s="65" t="s">
        <v>415</v>
      </c>
      <c r="F81" s="65" t="s">
        <v>416</v>
      </c>
      <c r="G81" s="64" t="s">
        <v>417</v>
      </c>
      <c r="H81" s="71" t="s">
        <v>418</v>
      </c>
      <c r="I81" s="64">
        <v>552</v>
      </c>
      <c r="J81" s="64"/>
      <c r="K81" s="64" t="s">
        <v>33</v>
      </c>
      <c r="L81" s="64" t="s">
        <v>46</v>
      </c>
      <c r="M81" s="64"/>
      <c r="N81" s="64" t="s">
        <v>64</v>
      </c>
      <c r="O81" s="64"/>
      <c r="P81" s="64"/>
      <c r="Q81" s="280">
        <v>45996</v>
      </c>
      <c r="R81" s="280">
        <f>Q81+60</f>
        <v>46056</v>
      </c>
      <c r="S81" s="75" t="s">
        <v>37</v>
      </c>
      <c r="T81" s="75"/>
      <c r="U81" s="98"/>
      <c r="V81" s="98"/>
      <c r="W81" s="68" t="s">
        <v>419</v>
      </c>
      <c r="X81" s="64"/>
      <c r="AH81" s="73"/>
    </row>
    <row r="82" spans="1:34" s="69" customFormat="1" ht="80.099999999999994" customHeight="1">
      <c r="A82" s="68" t="s">
        <v>420</v>
      </c>
      <c r="B82" s="64" t="s">
        <v>144</v>
      </c>
      <c r="C82" s="65">
        <v>7</v>
      </c>
      <c r="D82" s="65" t="s">
        <v>421</v>
      </c>
      <c r="E82" s="65"/>
      <c r="F82" s="65" t="s">
        <v>32</v>
      </c>
      <c r="G82" s="64" t="s">
        <v>90</v>
      </c>
      <c r="H82" s="64" t="s">
        <v>422</v>
      </c>
      <c r="I82" s="64"/>
      <c r="J82" s="64" t="s">
        <v>32</v>
      </c>
      <c r="K82" s="64" t="s">
        <v>33</v>
      </c>
      <c r="L82" s="64" t="s">
        <v>46</v>
      </c>
      <c r="M82" s="64"/>
      <c r="N82" s="64"/>
      <c r="O82" s="64"/>
      <c r="P82" s="64"/>
      <c r="Q82" s="280">
        <v>45924</v>
      </c>
      <c r="R82" s="280">
        <f>Q82+75</f>
        <v>45999</v>
      </c>
      <c r="S82" s="75"/>
      <c r="T82" s="75"/>
      <c r="U82" s="284"/>
      <c r="V82" s="284"/>
      <c r="W82" s="68" t="s">
        <v>423</v>
      </c>
      <c r="X82" s="64"/>
      <c r="AH82" s="73"/>
    </row>
    <row r="83" spans="1:34" s="69" customFormat="1" ht="80.099999999999994" customHeight="1">
      <c r="A83" s="253" t="s">
        <v>424</v>
      </c>
      <c r="B83" s="64" t="s">
        <v>144</v>
      </c>
      <c r="C83" s="65">
        <v>7</v>
      </c>
      <c r="D83" s="65"/>
      <c r="E83" s="65"/>
      <c r="F83" s="65"/>
      <c r="G83" s="64" t="s">
        <v>425</v>
      </c>
      <c r="H83" s="64" t="s">
        <v>426</v>
      </c>
      <c r="I83" s="64"/>
      <c r="J83" s="64" t="s">
        <v>32</v>
      </c>
      <c r="K83" s="64" t="s">
        <v>33</v>
      </c>
      <c r="L83" s="64"/>
      <c r="M83" s="64"/>
      <c r="N83" s="64"/>
      <c r="O83" s="64"/>
      <c r="P83" s="64"/>
      <c r="Q83" s="280">
        <v>45960</v>
      </c>
      <c r="R83" s="280">
        <f>Q83+60</f>
        <v>46020</v>
      </c>
      <c r="S83" s="75" t="s">
        <v>260</v>
      </c>
      <c r="T83" s="75"/>
      <c r="U83" s="284"/>
      <c r="V83" s="284"/>
      <c r="W83" s="68" t="s">
        <v>427</v>
      </c>
      <c r="X83" s="64"/>
      <c r="AH83" s="73"/>
    </row>
    <row r="84" spans="1:34" s="69" customFormat="1" ht="33.950000000000003">
      <c r="A84" s="68" t="s">
        <v>428</v>
      </c>
      <c r="B84" s="64" t="s">
        <v>429</v>
      </c>
      <c r="C84" s="65">
        <v>7</v>
      </c>
      <c r="D84" s="65" t="s">
        <v>153</v>
      </c>
      <c r="E84" s="65"/>
      <c r="F84" s="65"/>
      <c r="G84" s="64"/>
      <c r="H84" s="66" t="s">
        <v>428</v>
      </c>
      <c r="I84" s="66"/>
      <c r="J84" s="64" t="s">
        <v>32</v>
      </c>
      <c r="K84" s="64" t="s">
        <v>33</v>
      </c>
      <c r="L84" s="64" t="s">
        <v>80</v>
      </c>
      <c r="M84" s="64"/>
      <c r="N84" s="64"/>
      <c r="O84" s="64"/>
      <c r="P84" s="64"/>
      <c r="Q84" s="280"/>
      <c r="R84" s="280"/>
      <c r="S84" s="67"/>
      <c r="T84" s="67"/>
      <c r="U84" s="98" t="s">
        <v>430</v>
      </c>
      <c r="V84" s="98"/>
      <c r="W84" s="254" t="s">
        <v>431</v>
      </c>
      <c r="X84" s="64"/>
      <c r="AH84" s="73"/>
    </row>
    <row r="85" spans="1:34" s="69" customFormat="1" ht="204" customHeight="1">
      <c r="A85" s="251" t="s">
        <v>432</v>
      </c>
      <c r="B85" s="78" t="s">
        <v>144</v>
      </c>
      <c r="C85" s="219">
        <v>7</v>
      </c>
      <c r="D85" s="311"/>
      <c r="E85" s="311"/>
      <c r="F85" s="219"/>
      <c r="G85" s="78" t="s">
        <v>433</v>
      </c>
      <c r="H85" s="78" t="s">
        <v>434</v>
      </c>
      <c r="I85" s="78"/>
      <c r="J85" s="78" t="s">
        <v>77</v>
      </c>
      <c r="K85" s="78" t="s">
        <v>33</v>
      </c>
      <c r="L85" s="78" t="s">
        <v>111</v>
      </c>
      <c r="M85" s="78" t="s">
        <v>35</v>
      </c>
      <c r="N85" s="78" t="s">
        <v>64</v>
      </c>
      <c r="O85" s="78"/>
      <c r="P85" s="78"/>
      <c r="Q85" s="280"/>
      <c r="R85" s="280"/>
      <c r="S85" s="75" t="s">
        <v>260</v>
      </c>
      <c r="T85" s="75"/>
      <c r="U85" s="286"/>
      <c r="V85" s="286"/>
      <c r="W85" s="68" t="s">
        <v>435</v>
      </c>
      <c r="X85" s="64"/>
      <c r="AH85" s="73"/>
    </row>
    <row r="86" spans="1:34" s="69" customFormat="1" ht="204" customHeight="1">
      <c r="A86" s="68" t="s">
        <v>436</v>
      </c>
      <c r="B86" s="64" t="s">
        <v>199</v>
      </c>
      <c r="C86" s="65">
        <v>7</v>
      </c>
      <c r="D86" s="89"/>
      <c r="E86" s="89"/>
      <c r="F86" s="65"/>
      <c r="G86" s="64" t="s">
        <v>437</v>
      </c>
      <c r="H86" s="64" t="s">
        <v>438</v>
      </c>
      <c r="I86" s="64"/>
      <c r="J86" s="64" t="s">
        <v>32</v>
      </c>
      <c r="K86" s="64" t="s">
        <v>33</v>
      </c>
      <c r="L86" s="64" t="s">
        <v>111</v>
      </c>
      <c r="M86" s="64" t="s">
        <v>439</v>
      </c>
      <c r="N86" s="64" t="s">
        <v>64</v>
      </c>
      <c r="O86" s="64"/>
      <c r="P86" s="64"/>
      <c r="Q86" s="280">
        <v>46000</v>
      </c>
      <c r="R86" s="280">
        <f>Q86+14</f>
        <v>46014</v>
      </c>
      <c r="S86" s="67"/>
      <c r="T86" s="67"/>
      <c r="U86" s="98"/>
      <c r="V86" s="98"/>
      <c r="W86" s="68" t="s">
        <v>440</v>
      </c>
      <c r="X86" s="64"/>
      <c r="AH86" s="73"/>
    </row>
    <row r="87" spans="1:34" s="69" customFormat="1" ht="18.95">
      <c r="A87" s="253" t="s">
        <v>441</v>
      </c>
      <c r="B87" s="64" t="s">
        <v>144</v>
      </c>
      <c r="C87" s="65">
        <v>7</v>
      </c>
      <c r="D87" s="89"/>
      <c r="E87" s="65"/>
      <c r="F87" s="65" t="s">
        <v>32</v>
      </c>
      <c r="G87" s="64"/>
      <c r="H87" s="66"/>
      <c r="I87" s="66"/>
      <c r="J87" s="64"/>
      <c r="K87" s="64" t="s">
        <v>33</v>
      </c>
      <c r="L87" s="64"/>
      <c r="M87" s="64"/>
      <c r="N87" s="64"/>
      <c r="O87" s="64"/>
      <c r="P87" s="64"/>
      <c r="Q87" s="280"/>
      <c r="R87" s="280"/>
      <c r="S87" s="75" t="s">
        <v>260</v>
      </c>
      <c r="T87" s="75"/>
      <c r="U87" s="98"/>
      <c r="V87" s="98"/>
      <c r="W87" s="68"/>
      <c r="X87" s="64"/>
      <c r="AH87" s="73"/>
    </row>
    <row r="88" spans="1:34" s="69" customFormat="1" ht="38.1">
      <c r="A88" s="83" t="s">
        <v>442</v>
      </c>
      <c r="B88" s="64" t="s">
        <v>144</v>
      </c>
      <c r="C88" s="65">
        <v>7</v>
      </c>
      <c r="D88" s="65"/>
      <c r="E88" s="65"/>
      <c r="F88" s="65"/>
      <c r="G88" s="79" t="s">
        <v>443</v>
      </c>
      <c r="H88" s="79" t="s">
        <v>444</v>
      </c>
      <c r="I88" s="79"/>
      <c r="J88" s="79" t="s">
        <v>32</v>
      </c>
      <c r="K88" s="79" t="s">
        <v>33</v>
      </c>
      <c r="L88" s="79" t="s">
        <v>186</v>
      </c>
      <c r="M88" s="79" t="s">
        <v>445</v>
      </c>
      <c r="N88" s="79" t="s">
        <v>64</v>
      </c>
      <c r="O88" s="79"/>
      <c r="P88" s="79"/>
      <c r="Q88" s="280">
        <v>45973</v>
      </c>
      <c r="R88" s="280">
        <f>Q88+7</f>
        <v>45980</v>
      </c>
      <c r="S88" s="82"/>
      <c r="T88" s="82"/>
      <c r="U88" s="285"/>
      <c r="V88" s="285"/>
      <c r="W88" s="83" t="s">
        <v>446</v>
      </c>
      <c r="X88" s="64"/>
      <c r="AH88" s="73"/>
    </row>
    <row r="89" spans="1:34" s="69" customFormat="1" ht="18.95">
      <c r="A89" s="68" t="s">
        <v>447</v>
      </c>
      <c r="B89" s="64" t="s">
        <v>144</v>
      </c>
      <c r="C89" s="65">
        <v>7</v>
      </c>
      <c r="D89" s="65"/>
      <c r="E89" s="65"/>
      <c r="F89" s="65" t="s">
        <v>448</v>
      </c>
      <c r="G89" s="64" t="s">
        <v>449</v>
      </c>
      <c r="H89" s="64" t="s">
        <v>450</v>
      </c>
      <c r="I89" s="64"/>
      <c r="J89" s="64" t="s">
        <v>32</v>
      </c>
      <c r="K89" s="64" t="s">
        <v>451</v>
      </c>
      <c r="L89" s="64" t="s">
        <v>111</v>
      </c>
      <c r="M89" s="64"/>
      <c r="N89" s="64"/>
      <c r="O89" s="64"/>
      <c r="P89" s="64"/>
      <c r="Q89" s="280">
        <v>45973</v>
      </c>
      <c r="R89" s="280">
        <f>Q89+7</f>
        <v>45980</v>
      </c>
      <c r="S89" s="75"/>
      <c r="T89" s="75"/>
      <c r="U89" s="284"/>
      <c r="V89" s="284"/>
      <c r="W89" s="68" t="s">
        <v>452</v>
      </c>
      <c r="X89" s="64"/>
      <c r="AH89" s="73"/>
    </row>
    <row r="90" spans="1:34" s="69" customFormat="1" ht="18.95">
      <c r="A90" s="68" t="s">
        <v>453</v>
      </c>
      <c r="B90" s="64" t="s">
        <v>144</v>
      </c>
      <c r="C90" s="65">
        <v>7</v>
      </c>
      <c r="D90" s="65"/>
      <c r="E90" s="65"/>
      <c r="F90" s="65" t="s">
        <v>448</v>
      </c>
      <c r="G90" s="64" t="s">
        <v>454</v>
      </c>
      <c r="H90" s="64" t="s">
        <v>455</v>
      </c>
      <c r="I90" s="64"/>
      <c r="J90" s="64" t="s">
        <v>32</v>
      </c>
      <c r="K90" s="64" t="s">
        <v>33</v>
      </c>
      <c r="L90" s="64" t="s">
        <v>111</v>
      </c>
      <c r="M90" s="64"/>
      <c r="N90" s="64"/>
      <c r="O90" s="64"/>
      <c r="P90" s="64"/>
      <c r="Q90" s="280">
        <v>45973</v>
      </c>
      <c r="R90" s="280">
        <f>Q90+60</f>
        <v>46033</v>
      </c>
      <c r="S90" s="75"/>
      <c r="T90" s="75"/>
      <c r="U90" s="284"/>
      <c r="V90" s="284"/>
      <c r="W90" s="68" t="s">
        <v>456</v>
      </c>
      <c r="X90" s="64"/>
      <c r="AH90" s="73"/>
    </row>
    <row r="91" spans="1:34" s="69" customFormat="1" ht="18.95">
      <c r="A91" s="68" t="s">
        <v>457</v>
      </c>
      <c r="B91" s="64" t="s">
        <v>144</v>
      </c>
      <c r="C91" s="65">
        <v>7</v>
      </c>
      <c r="D91" s="65"/>
      <c r="E91" s="65"/>
      <c r="F91" s="65" t="s">
        <v>448</v>
      </c>
      <c r="G91" s="64" t="s">
        <v>425</v>
      </c>
      <c r="H91" s="64"/>
      <c r="I91" s="64"/>
      <c r="J91" s="64" t="s">
        <v>32</v>
      </c>
      <c r="K91" s="64" t="s">
        <v>33</v>
      </c>
      <c r="L91" s="64" t="s">
        <v>111</v>
      </c>
      <c r="M91" s="64"/>
      <c r="N91" s="64"/>
      <c r="O91" s="64"/>
      <c r="P91" s="64"/>
      <c r="Q91" s="280">
        <v>45973</v>
      </c>
      <c r="R91" s="280">
        <v>45982</v>
      </c>
      <c r="S91" s="75"/>
      <c r="T91" s="75"/>
      <c r="U91" s="284"/>
      <c r="V91" s="284"/>
      <c r="W91" s="68" t="s">
        <v>458</v>
      </c>
      <c r="X91" s="64"/>
      <c r="AH91" s="73"/>
    </row>
    <row r="92" spans="1:34" s="69" customFormat="1" ht="38.1">
      <c r="A92" s="68" t="s">
        <v>459</v>
      </c>
      <c r="B92" s="64" t="s">
        <v>144</v>
      </c>
      <c r="C92" s="65">
        <v>7</v>
      </c>
      <c r="D92" s="65"/>
      <c r="E92" s="65"/>
      <c r="F92" s="65" t="s">
        <v>448</v>
      </c>
      <c r="G92" s="64" t="s">
        <v>460</v>
      </c>
      <c r="H92" s="64" t="s">
        <v>461</v>
      </c>
      <c r="I92" s="64"/>
      <c r="J92" s="64" t="s">
        <v>32</v>
      </c>
      <c r="K92" s="64" t="s">
        <v>133</v>
      </c>
      <c r="L92" s="64" t="s">
        <v>111</v>
      </c>
      <c r="M92" s="64"/>
      <c r="N92" s="64"/>
      <c r="O92" s="64"/>
      <c r="P92" s="64" t="s">
        <v>462</v>
      </c>
      <c r="Q92" s="280">
        <v>45973</v>
      </c>
      <c r="R92" s="280">
        <f>Q92+14</f>
        <v>45987</v>
      </c>
      <c r="S92" s="75"/>
      <c r="T92" s="75"/>
      <c r="U92" s="284"/>
      <c r="V92" s="284"/>
      <c r="W92" s="68" t="s">
        <v>463</v>
      </c>
      <c r="X92" s="64"/>
      <c r="AH92" s="73"/>
    </row>
    <row r="93" spans="1:34" s="69" customFormat="1" ht="197.1" customHeight="1">
      <c r="A93" s="68" t="s">
        <v>424</v>
      </c>
      <c r="B93" s="64" t="s">
        <v>144</v>
      </c>
      <c r="C93" s="65">
        <v>7</v>
      </c>
      <c r="D93" s="65" t="s">
        <v>464</v>
      </c>
      <c r="E93" s="65"/>
      <c r="F93" s="65" t="s">
        <v>182</v>
      </c>
      <c r="G93" s="64"/>
      <c r="H93" s="66" t="s">
        <v>465</v>
      </c>
      <c r="I93" s="66"/>
      <c r="J93" s="64" t="s">
        <v>32</v>
      </c>
      <c r="K93" s="64" t="s">
        <v>133</v>
      </c>
      <c r="L93" s="64" t="s">
        <v>111</v>
      </c>
      <c r="M93" s="64"/>
      <c r="N93" s="64"/>
      <c r="O93" s="64"/>
      <c r="P93" s="64"/>
      <c r="Q93" s="280">
        <v>45973</v>
      </c>
      <c r="R93" s="280">
        <f>Q93+7</f>
        <v>45980</v>
      </c>
      <c r="S93" s="67"/>
      <c r="T93" s="67"/>
      <c r="U93" s="98"/>
      <c r="V93" s="98"/>
      <c r="W93" s="104" t="s">
        <v>466</v>
      </c>
      <c r="X93" s="64"/>
      <c r="AH93" s="73"/>
    </row>
    <row r="94" spans="1:34" s="69" customFormat="1" ht="122.1" customHeight="1">
      <c r="A94" s="68" t="s">
        <v>467</v>
      </c>
      <c r="B94" s="64" t="s">
        <v>144</v>
      </c>
      <c r="C94" s="65">
        <v>7</v>
      </c>
      <c r="D94" s="65" t="s">
        <v>41</v>
      </c>
      <c r="E94" s="65"/>
      <c r="F94" s="65" t="s">
        <v>448</v>
      </c>
      <c r="G94" s="66" t="s">
        <v>468</v>
      </c>
      <c r="H94" s="64" t="s">
        <v>469</v>
      </c>
      <c r="I94" s="66"/>
      <c r="J94" s="64" t="s">
        <v>32</v>
      </c>
      <c r="K94" s="64" t="s">
        <v>133</v>
      </c>
      <c r="L94" s="64" t="s">
        <v>111</v>
      </c>
      <c r="M94" s="64"/>
      <c r="N94" s="64"/>
      <c r="O94" s="64"/>
      <c r="P94" s="64"/>
      <c r="Q94" s="280">
        <v>45973</v>
      </c>
      <c r="R94" s="280">
        <f>Q94+7</f>
        <v>45980</v>
      </c>
      <c r="S94" s="67"/>
      <c r="T94" s="67"/>
      <c r="U94" s="98"/>
      <c r="V94" s="98"/>
      <c r="W94" s="104" t="s">
        <v>470</v>
      </c>
      <c r="X94" s="64"/>
      <c r="AH94" s="73"/>
    </row>
    <row r="95" spans="1:34" s="69" customFormat="1" ht="122.1" customHeight="1">
      <c r="A95" s="68" t="s">
        <v>471</v>
      </c>
      <c r="B95" s="64" t="s">
        <v>137</v>
      </c>
      <c r="C95" s="65">
        <v>7</v>
      </c>
      <c r="D95" s="65" t="s">
        <v>28</v>
      </c>
      <c r="E95" s="65"/>
      <c r="F95" s="65" t="s">
        <v>32</v>
      </c>
      <c r="G95" s="64"/>
      <c r="H95" s="64" t="s">
        <v>472</v>
      </c>
      <c r="I95" s="64">
        <v>486</v>
      </c>
      <c r="J95" s="64" t="s">
        <v>32</v>
      </c>
      <c r="K95" s="64" t="s">
        <v>33</v>
      </c>
      <c r="L95" s="64" t="s">
        <v>163</v>
      </c>
      <c r="M95" s="64"/>
      <c r="N95" s="64"/>
      <c r="O95" s="64"/>
      <c r="P95" s="64"/>
      <c r="Q95" s="280">
        <v>45987</v>
      </c>
      <c r="R95" s="280">
        <f>Q95+14</f>
        <v>46001</v>
      </c>
      <c r="S95" s="67" t="s">
        <v>37</v>
      </c>
      <c r="T95" s="67"/>
      <c r="U95" s="284"/>
      <c r="V95" s="284"/>
      <c r="W95" s="68" t="s">
        <v>473</v>
      </c>
      <c r="X95" s="64"/>
    </row>
    <row r="96" spans="1:34" s="69" customFormat="1" ht="204" customHeight="1">
      <c r="A96" s="68" t="s">
        <v>474</v>
      </c>
      <c r="B96" s="64" t="s">
        <v>144</v>
      </c>
      <c r="C96" s="65">
        <v>7</v>
      </c>
      <c r="D96" s="65" t="s">
        <v>28</v>
      </c>
      <c r="E96" s="65"/>
      <c r="F96" s="65"/>
      <c r="G96" s="64" t="s">
        <v>475</v>
      </c>
      <c r="H96" s="66" t="s">
        <v>476</v>
      </c>
      <c r="I96" s="66"/>
      <c r="J96" s="64" t="s">
        <v>32</v>
      </c>
      <c r="K96" s="64" t="s">
        <v>33</v>
      </c>
      <c r="L96" s="64" t="s">
        <v>111</v>
      </c>
      <c r="M96" s="64" t="s">
        <v>112</v>
      </c>
      <c r="N96" s="64" t="s">
        <v>64</v>
      </c>
      <c r="O96" s="64"/>
      <c r="P96" s="64"/>
      <c r="Q96" s="280">
        <v>45973</v>
      </c>
      <c r="R96" s="280">
        <f>Q96+10</f>
        <v>45983</v>
      </c>
      <c r="S96" s="67"/>
      <c r="T96" s="67"/>
      <c r="U96" s="98"/>
      <c r="V96" s="98"/>
      <c r="W96" s="68" t="s">
        <v>477</v>
      </c>
      <c r="X96" s="64"/>
      <c r="AH96" s="73"/>
    </row>
    <row r="97" spans="1:34" s="69" customFormat="1" ht="42" customHeight="1">
      <c r="A97" s="68" t="s">
        <v>478</v>
      </c>
      <c r="B97" s="64" t="s">
        <v>144</v>
      </c>
      <c r="C97" s="65">
        <v>7</v>
      </c>
      <c r="D97" s="65"/>
      <c r="E97" s="65"/>
      <c r="F97" s="65"/>
      <c r="G97" s="64"/>
      <c r="H97" s="66" t="s">
        <v>479</v>
      </c>
      <c r="I97" s="66"/>
      <c r="J97" s="64" t="s">
        <v>32</v>
      </c>
      <c r="K97" s="64" t="s">
        <v>480</v>
      </c>
      <c r="L97" s="64" t="s">
        <v>481</v>
      </c>
      <c r="M97" s="64"/>
      <c r="N97" s="64"/>
      <c r="O97" s="64"/>
      <c r="P97" s="64"/>
      <c r="Q97" s="280">
        <v>45973</v>
      </c>
      <c r="R97" s="280">
        <f>Q97+14</f>
        <v>45987</v>
      </c>
      <c r="S97" s="67"/>
      <c r="T97" s="67"/>
      <c r="U97" s="98"/>
      <c r="V97" s="98"/>
      <c r="W97" s="68" t="s">
        <v>482</v>
      </c>
      <c r="X97" s="64"/>
      <c r="AH97" s="73"/>
    </row>
    <row r="98" spans="1:34" s="69" customFormat="1" ht="204" customHeight="1">
      <c r="A98" s="68" t="s">
        <v>483</v>
      </c>
      <c r="B98" s="64" t="s">
        <v>144</v>
      </c>
      <c r="C98" s="65">
        <v>7</v>
      </c>
      <c r="D98" s="65"/>
      <c r="E98" s="65"/>
      <c r="F98" s="65" t="s">
        <v>32</v>
      </c>
      <c r="G98" s="64" t="s">
        <v>484</v>
      </c>
      <c r="H98" s="64" t="s">
        <v>485</v>
      </c>
      <c r="I98" s="64"/>
      <c r="J98" s="64" t="s">
        <v>32</v>
      </c>
      <c r="K98" s="64" t="s">
        <v>33</v>
      </c>
      <c r="L98" s="64" t="s">
        <v>46</v>
      </c>
      <c r="M98" s="64"/>
      <c r="N98" s="64"/>
      <c r="O98" s="64"/>
      <c r="P98" s="64"/>
      <c r="Q98" s="280">
        <v>46001</v>
      </c>
      <c r="R98" s="280">
        <f>Q98+14</f>
        <v>46015</v>
      </c>
      <c r="S98" s="67"/>
      <c r="T98" s="67"/>
      <c r="U98" s="98"/>
      <c r="V98" s="98"/>
      <c r="W98" s="68" t="s">
        <v>486</v>
      </c>
      <c r="X98" s="64"/>
      <c r="AH98" s="73"/>
    </row>
    <row r="99" spans="1:34" s="69" customFormat="1" ht="57">
      <c r="A99" s="77" t="s">
        <v>487</v>
      </c>
      <c r="B99" s="64" t="s">
        <v>144</v>
      </c>
      <c r="C99" s="65">
        <v>6</v>
      </c>
      <c r="D99" s="65"/>
      <c r="E99" s="65"/>
      <c r="F99" s="65" t="s">
        <v>32</v>
      </c>
      <c r="G99" s="64" t="s">
        <v>488</v>
      </c>
      <c r="H99" s="64" t="s">
        <v>489</v>
      </c>
      <c r="I99" s="64"/>
      <c r="J99" s="64" t="s">
        <v>32</v>
      </c>
      <c r="K99" s="64" t="s">
        <v>33</v>
      </c>
      <c r="L99" s="64" t="s">
        <v>34</v>
      </c>
      <c r="M99" s="64" t="s">
        <v>490</v>
      </c>
      <c r="N99" s="64" t="s">
        <v>64</v>
      </c>
      <c r="O99" s="64"/>
      <c r="P99" s="64"/>
      <c r="Q99" s="280">
        <v>45706</v>
      </c>
      <c r="R99" s="280">
        <f>Q99+10</f>
        <v>45716</v>
      </c>
      <c r="S99" s="75" t="s">
        <v>37</v>
      </c>
      <c r="T99" s="75"/>
      <c r="U99" s="98"/>
      <c r="V99" s="98"/>
      <c r="W99" s="68" t="s">
        <v>491</v>
      </c>
      <c r="X99" s="64"/>
      <c r="AH99" s="73"/>
    </row>
    <row r="100" spans="1:34" s="69" customFormat="1" ht="18.95">
      <c r="A100" s="68" t="s">
        <v>492</v>
      </c>
      <c r="B100" s="64" t="s">
        <v>144</v>
      </c>
      <c r="C100" s="65">
        <v>6</v>
      </c>
      <c r="D100" s="65"/>
      <c r="E100" s="65"/>
      <c r="F100" s="65"/>
      <c r="G100" s="64" t="s">
        <v>443</v>
      </c>
      <c r="H100" s="64" t="s">
        <v>493</v>
      </c>
      <c r="I100" s="64"/>
      <c r="J100" s="64" t="s">
        <v>32</v>
      </c>
      <c r="K100" s="64" t="s">
        <v>33</v>
      </c>
      <c r="L100" s="64" t="s">
        <v>111</v>
      </c>
      <c r="M100" s="64" t="s">
        <v>134</v>
      </c>
      <c r="N100" s="64" t="s">
        <v>64</v>
      </c>
      <c r="O100" s="64"/>
      <c r="P100" s="64"/>
      <c r="Q100" s="280">
        <v>45742</v>
      </c>
      <c r="R100" s="280">
        <f>Q100+10</f>
        <v>45752</v>
      </c>
      <c r="S100" s="75" t="s">
        <v>260</v>
      </c>
      <c r="T100" s="75"/>
      <c r="U100" s="98"/>
      <c r="V100" s="98"/>
      <c r="W100" s="68" t="s">
        <v>494</v>
      </c>
      <c r="X100" s="64"/>
      <c r="AH100" s="73"/>
    </row>
    <row r="101" spans="1:34" s="69" customFormat="1" ht="38.1">
      <c r="A101" s="68" t="s">
        <v>495</v>
      </c>
      <c r="B101" s="64" t="s">
        <v>144</v>
      </c>
      <c r="C101" s="65">
        <v>6</v>
      </c>
      <c r="D101" s="65" t="s">
        <v>496</v>
      </c>
      <c r="E101" s="65"/>
      <c r="F101" s="65" t="s">
        <v>253</v>
      </c>
      <c r="G101" s="64" t="s">
        <v>497</v>
      </c>
      <c r="H101" s="64" t="s">
        <v>498</v>
      </c>
      <c r="I101" s="64"/>
      <c r="J101" s="64" t="s">
        <v>32</v>
      </c>
      <c r="K101" s="64" t="s">
        <v>499</v>
      </c>
      <c r="L101" s="64" t="s">
        <v>46</v>
      </c>
      <c r="M101" s="64"/>
      <c r="N101" s="64"/>
      <c r="O101" s="64"/>
      <c r="P101" s="64"/>
      <c r="Q101" s="280">
        <v>45776</v>
      </c>
      <c r="R101" s="280">
        <f>Q101+7</f>
        <v>45783</v>
      </c>
      <c r="S101" s="75" t="s">
        <v>260</v>
      </c>
      <c r="T101" s="75"/>
      <c r="U101" s="284"/>
      <c r="V101" s="284"/>
      <c r="W101" s="68" t="s">
        <v>500</v>
      </c>
      <c r="X101" s="64"/>
      <c r="AH101" s="73"/>
    </row>
    <row r="102" spans="1:34" s="69" customFormat="1" ht="132.94999999999999">
      <c r="A102" s="68" t="s">
        <v>501</v>
      </c>
      <c r="B102" s="64" t="s">
        <v>144</v>
      </c>
      <c r="C102" s="65">
        <v>6</v>
      </c>
      <c r="D102" s="65" t="s">
        <v>502</v>
      </c>
      <c r="E102" s="65" t="s">
        <v>503</v>
      </c>
      <c r="F102" s="65" t="s">
        <v>32</v>
      </c>
      <c r="G102" s="64" t="s">
        <v>504</v>
      </c>
      <c r="H102" s="64" t="s">
        <v>505</v>
      </c>
      <c r="I102" s="97">
        <v>14742</v>
      </c>
      <c r="J102" s="64" t="s">
        <v>32</v>
      </c>
      <c r="K102" s="64" t="s">
        <v>33</v>
      </c>
      <c r="L102" s="64" t="s">
        <v>46</v>
      </c>
      <c r="M102" s="64"/>
      <c r="N102" s="64"/>
      <c r="O102" s="64"/>
      <c r="P102" s="64"/>
      <c r="Q102" s="280">
        <v>45775</v>
      </c>
      <c r="R102" s="280">
        <f>Q102+10</f>
        <v>45785</v>
      </c>
      <c r="S102" s="75" t="s">
        <v>260</v>
      </c>
      <c r="T102" s="75"/>
      <c r="U102" s="98"/>
      <c r="V102" s="98"/>
      <c r="W102" s="68" t="s">
        <v>506</v>
      </c>
      <c r="X102" s="64"/>
      <c r="AH102" s="73"/>
    </row>
    <row r="103" spans="1:34" s="69" customFormat="1" ht="38.1">
      <c r="A103" s="68" t="s">
        <v>507</v>
      </c>
      <c r="B103" s="64" t="s">
        <v>144</v>
      </c>
      <c r="C103" s="65">
        <v>6</v>
      </c>
      <c r="D103" s="65" t="s">
        <v>502</v>
      </c>
      <c r="E103" s="65" t="s">
        <v>508</v>
      </c>
      <c r="F103" s="65" t="s">
        <v>509</v>
      </c>
      <c r="G103" s="64" t="s">
        <v>510</v>
      </c>
      <c r="H103" s="64" t="s">
        <v>511</v>
      </c>
      <c r="I103" s="64"/>
      <c r="J103" s="64" t="s">
        <v>32</v>
      </c>
      <c r="K103" s="64" t="s">
        <v>512</v>
      </c>
      <c r="L103" s="64" t="s">
        <v>46</v>
      </c>
      <c r="M103" s="64"/>
      <c r="N103" s="64"/>
      <c r="O103" s="64"/>
      <c r="P103" s="64"/>
      <c r="Q103" s="280">
        <v>45783</v>
      </c>
      <c r="R103" s="280">
        <f>Q103+7</f>
        <v>45790</v>
      </c>
      <c r="S103" s="75" t="s">
        <v>260</v>
      </c>
      <c r="T103" s="75"/>
      <c r="U103" s="284"/>
      <c r="V103" s="284"/>
      <c r="W103" s="68" t="s">
        <v>513</v>
      </c>
      <c r="X103" s="64"/>
      <c r="AH103" s="73"/>
    </row>
    <row r="104" spans="1:34" s="69" customFormat="1" ht="38.1">
      <c r="A104" s="68" t="s">
        <v>514</v>
      </c>
      <c r="B104" s="64" t="s">
        <v>144</v>
      </c>
      <c r="C104" s="65">
        <v>6</v>
      </c>
      <c r="D104" s="65" t="s">
        <v>502</v>
      </c>
      <c r="E104" s="65"/>
      <c r="F104" s="65" t="s">
        <v>253</v>
      </c>
      <c r="G104" s="64" t="s">
        <v>515</v>
      </c>
      <c r="H104" s="64" t="s">
        <v>393</v>
      </c>
      <c r="I104" s="64">
        <v>26054</v>
      </c>
      <c r="J104" s="64" t="s">
        <v>32</v>
      </c>
      <c r="K104" s="64" t="s">
        <v>369</v>
      </c>
      <c r="L104" s="64" t="s">
        <v>46</v>
      </c>
      <c r="M104" s="64"/>
      <c r="N104" s="64"/>
      <c r="O104" s="64"/>
      <c r="P104" s="64"/>
      <c r="Q104" s="280">
        <v>45960</v>
      </c>
      <c r="R104" s="280">
        <f>Q104+14</f>
        <v>45974</v>
      </c>
      <c r="S104" s="75" t="s">
        <v>260</v>
      </c>
      <c r="T104" s="75"/>
      <c r="U104" s="284"/>
      <c r="V104" s="284"/>
      <c r="W104" s="68" t="s">
        <v>516</v>
      </c>
      <c r="X104" s="64"/>
      <c r="AH104" s="73"/>
    </row>
    <row r="105" spans="1:34" s="69" customFormat="1" ht="18.95">
      <c r="A105" s="254" t="s">
        <v>517</v>
      </c>
      <c r="B105" s="64" t="s">
        <v>144</v>
      </c>
      <c r="C105" s="65">
        <v>6</v>
      </c>
      <c r="D105" s="65" t="s">
        <v>502</v>
      </c>
      <c r="E105" s="65" t="s">
        <v>518</v>
      </c>
      <c r="F105" s="65" t="s">
        <v>519</v>
      </c>
      <c r="G105" s="64" t="s">
        <v>520</v>
      </c>
      <c r="H105" s="66" t="s">
        <v>521</v>
      </c>
      <c r="I105" s="66"/>
      <c r="J105" s="64" t="s">
        <v>32</v>
      </c>
      <c r="K105" s="64" t="s">
        <v>33</v>
      </c>
      <c r="L105" s="64" t="s">
        <v>111</v>
      </c>
      <c r="M105" s="64"/>
      <c r="N105" s="64"/>
      <c r="O105" s="72"/>
      <c r="P105" s="72"/>
      <c r="Q105" s="280">
        <v>45789</v>
      </c>
      <c r="R105" s="280">
        <f>Q105+7</f>
        <v>45796</v>
      </c>
      <c r="S105" s="75" t="s">
        <v>260</v>
      </c>
      <c r="T105" s="75"/>
      <c r="U105" s="98"/>
      <c r="V105" s="98"/>
      <c r="W105" s="68" t="s">
        <v>522</v>
      </c>
      <c r="X105" s="74"/>
      <c r="AH105" s="73"/>
    </row>
    <row r="106" spans="1:34" s="69" customFormat="1" ht="18.95">
      <c r="A106" s="68" t="s">
        <v>523</v>
      </c>
      <c r="B106" s="64" t="s">
        <v>144</v>
      </c>
      <c r="C106" s="65">
        <v>6</v>
      </c>
      <c r="D106" s="65"/>
      <c r="E106" s="65" t="s">
        <v>42</v>
      </c>
      <c r="F106" s="65" t="s">
        <v>43</v>
      </c>
      <c r="G106" s="64"/>
      <c r="H106" s="66" t="s">
        <v>524</v>
      </c>
      <c r="I106" s="66"/>
      <c r="J106" s="64" t="s">
        <v>32</v>
      </c>
      <c r="K106" s="64" t="s">
        <v>33</v>
      </c>
      <c r="L106" s="64" t="s">
        <v>525</v>
      </c>
      <c r="M106" s="64"/>
      <c r="N106" s="64"/>
      <c r="O106" s="64"/>
      <c r="P106" s="64"/>
      <c r="Q106" s="280">
        <v>45792</v>
      </c>
      <c r="R106" s="280">
        <f>Q106+5</f>
        <v>45797</v>
      </c>
      <c r="S106" s="67" t="s">
        <v>260</v>
      </c>
      <c r="T106" s="67"/>
      <c r="U106" s="98"/>
      <c r="V106" s="98"/>
      <c r="W106" s="104" t="s">
        <v>526</v>
      </c>
      <c r="X106" s="64"/>
      <c r="AH106" s="73"/>
    </row>
    <row r="107" spans="1:34" s="69" customFormat="1" ht="18.95">
      <c r="A107" s="68" t="s">
        <v>527</v>
      </c>
      <c r="B107" s="64" t="s">
        <v>144</v>
      </c>
      <c r="C107" s="65">
        <v>6</v>
      </c>
      <c r="D107" s="65"/>
      <c r="E107" s="65"/>
      <c r="F107" s="65"/>
      <c r="G107" s="64" t="s">
        <v>528</v>
      </c>
      <c r="H107" s="64" t="s">
        <v>529</v>
      </c>
      <c r="I107" s="64"/>
      <c r="J107" s="64" t="s">
        <v>32</v>
      </c>
      <c r="K107" s="64" t="s">
        <v>33</v>
      </c>
      <c r="L107" s="64" t="s">
        <v>46</v>
      </c>
      <c r="M107" s="64"/>
      <c r="N107" s="64"/>
      <c r="O107" s="64"/>
      <c r="P107" s="64"/>
      <c r="Q107" s="280">
        <v>45960</v>
      </c>
      <c r="R107" s="280">
        <f>Q107+7</f>
        <v>45967</v>
      </c>
      <c r="S107" s="67" t="s">
        <v>260</v>
      </c>
      <c r="T107" s="67"/>
      <c r="U107" s="284"/>
      <c r="V107" s="284"/>
      <c r="W107" s="68" t="s">
        <v>530</v>
      </c>
      <c r="X107" s="64"/>
      <c r="AH107" s="73"/>
    </row>
    <row r="108" spans="1:34" s="69" customFormat="1" ht="18.95">
      <c r="A108" s="68" t="s">
        <v>531</v>
      </c>
      <c r="B108" s="64" t="s">
        <v>144</v>
      </c>
      <c r="C108" s="65">
        <v>6</v>
      </c>
      <c r="D108" s="65"/>
      <c r="E108" s="65"/>
      <c r="F108" s="65" t="s">
        <v>300</v>
      </c>
      <c r="G108" s="64"/>
      <c r="H108" s="64" t="s">
        <v>532</v>
      </c>
      <c r="I108" s="64"/>
      <c r="J108" s="64" t="s">
        <v>32</v>
      </c>
      <c r="K108" s="64" t="s">
        <v>33</v>
      </c>
      <c r="L108" s="64" t="s">
        <v>163</v>
      </c>
      <c r="M108" s="64"/>
      <c r="N108" s="64"/>
      <c r="O108" s="64"/>
      <c r="P108" s="64"/>
      <c r="Q108" s="280">
        <v>45812</v>
      </c>
      <c r="R108" s="280">
        <f>Q108+7</f>
        <v>45819</v>
      </c>
      <c r="S108" s="67" t="s">
        <v>260</v>
      </c>
      <c r="T108" s="67"/>
      <c r="U108" s="284"/>
      <c r="V108" s="284"/>
      <c r="W108" s="68" t="s">
        <v>533</v>
      </c>
      <c r="X108" s="64"/>
      <c r="AH108" s="73"/>
    </row>
    <row r="109" spans="1:34" s="69" customFormat="1" ht="38.1">
      <c r="A109" s="68" t="s">
        <v>534</v>
      </c>
      <c r="B109" s="64" t="s">
        <v>104</v>
      </c>
      <c r="C109" s="65">
        <v>6</v>
      </c>
      <c r="D109" s="65" t="s">
        <v>41</v>
      </c>
      <c r="E109" s="65" t="s">
        <v>42</v>
      </c>
      <c r="F109" s="65" t="s">
        <v>43</v>
      </c>
      <c r="G109" s="64" t="s">
        <v>454</v>
      </c>
      <c r="H109" s="66" t="s">
        <v>535</v>
      </c>
      <c r="I109" s="66"/>
      <c r="J109" s="64" t="s">
        <v>32</v>
      </c>
      <c r="K109" s="64" t="s">
        <v>33</v>
      </c>
      <c r="L109" s="64" t="s">
        <v>46</v>
      </c>
      <c r="M109" s="64"/>
      <c r="N109" s="64"/>
      <c r="O109" s="64"/>
      <c r="P109" s="64"/>
      <c r="Q109" s="280">
        <v>46003</v>
      </c>
      <c r="R109" s="280">
        <f>Q109+3</f>
        <v>46006</v>
      </c>
      <c r="S109" s="67" t="s">
        <v>37</v>
      </c>
      <c r="T109" s="67"/>
      <c r="U109" s="98"/>
      <c r="V109" s="98"/>
      <c r="W109" s="68" t="s">
        <v>536</v>
      </c>
      <c r="X109" s="64"/>
      <c r="AH109" s="73"/>
    </row>
    <row r="110" spans="1:34" s="69" customFormat="1" ht="59.1" customHeight="1">
      <c r="A110" s="68" t="s">
        <v>537</v>
      </c>
      <c r="B110" s="64" t="s">
        <v>144</v>
      </c>
      <c r="C110" s="65">
        <v>6</v>
      </c>
      <c r="D110" s="79" t="s">
        <v>28</v>
      </c>
      <c r="E110" s="79"/>
      <c r="F110" s="65" t="s">
        <v>509</v>
      </c>
      <c r="G110" s="65" t="s">
        <v>538</v>
      </c>
      <c r="H110" s="64" t="s">
        <v>539</v>
      </c>
      <c r="I110" s="64"/>
      <c r="J110" s="64" t="s">
        <v>32</v>
      </c>
      <c r="K110" s="64" t="s">
        <v>540</v>
      </c>
      <c r="L110" s="64" t="s">
        <v>46</v>
      </c>
      <c r="M110" s="64"/>
      <c r="N110" s="64"/>
      <c r="O110" s="64"/>
      <c r="P110" s="64"/>
      <c r="Q110" s="280">
        <v>45814</v>
      </c>
      <c r="R110" s="280">
        <f>Q110+7</f>
        <v>45821</v>
      </c>
      <c r="S110" s="67" t="s">
        <v>260</v>
      </c>
      <c r="T110" s="67"/>
      <c r="U110" s="284"/>
      <c r="V110" s="284"/>
      <c r="W110" s="68" t="s">
        <v>541</v>
      </c>
      <c r="X110" s="64"/>
      <c r="AH110" s="73"/>
    </row>
    <row r="111" spans="1:34" s="69" customFormat="1" ht="59.1" customHeight="1">
      <c r="A111" s="68" t="s">
        <v>542</v>
      </c>
      <c r="B111" s="64" t="s">
        <v>199</v>
      </c>
      <c r="C111" s="65">
        <v>6</v>
      </c>
      <c r="D111" s="65" t="s">
        <v>543</v>
      </c>
      <c r="E111" s="65"/>
      <c r="F111" s="65" t="s">
        <v>544</v>
      </c>
      <c r="G111" s="64" t="s">
        <v>90</v>
      </c>
      <c r="H111" s="64" t="s">
        <v>545</v>
      </c>
      <c r="I111" s="64"/>
      <c r="J111" s="64" t="s">
        <v>546</v>
      </c>
      <c r="K111" s="64" t="s">
        <v>547</v>
      </c>
      <c r="L111" s="64" t="s">
        <v>46</v>
      </c>
      <c r="M111" s="64"/>
      <c r="N111" s="64"/>
      <c r="O111" s="64"/>
      <c r="P111" s="64"/>
      <c r="Q111" s="280">
        <v>45818</v>
      </c>
      <c r="R111" s="280">
        <f>Q111+7</f>
        <v>45825</v>
      </c>
      <c r="S111" s="67" t="s">
        <v>260</v>
      </c>
      <c r="T111" s="67"/>
      <c r="U111" s="98"/>
      <c r="V111" s="98"/>
      <c r="W111" s="68" t="s">
        <v>548</v>
      </c>
      <c r="X111" s="64"/>
      <c r="AH111" s="73"/>
    </row>
    <row r="112" spans="1:34" s="69" customFormat="1" ht="38.1">
      <c r="A112" s="252" t="s">
        <v>549</v>
      </c>
      <c r="B112" s="64" t="s">
        <v>144</v>
      </c>
      <c r="C112" s="65">
        <v>6</v>
      </c>
      <c r="D112" s="65"/>
      <c r="E112" s="65"/>
      <c r="F112" s="65"/>
      <c r="G112" s="64" t="s">
        <v>550</v>
      </c>
      <c r="H112" s="64" t="s">
        <v>551</v>
      </c>
      <c r="I112" s="64"/>
      <c r="J112" s="64" t="s">
        <v>32</v>
      </c>
      <c r="K112" s="64" t="s">
        <v>315</v>
      </c>
      <c r="L112" s="64"/>
      <c r="M112" s="64"/>
      <c r="N112" s="64"/>
      <c r="O112" s="64"/>
      <c r="P112" s="64"/>
      <c r="Q112" s="280">
        <v>45798</v>
      </c>
      <c r="R112" s="280">
        <f>Q112+29</f>
        <v>45827</v>
      </c>
      <c r="S112" s="67" t="s">
        <v>260</v>
      </c>
      <c r="T112" s="67"/>
      <c r="U112" s="98"/>
      <c r="V112" s="98"/>
      <c r="W112" s="68" t="s">
        <v>552</v>
      </c>
      <c r="X112" s="64"/>
      <c r="AH112" s="73"/>
    </row>
    <row r="113" spans="1:34" s="69" customFormat="1" ht="38.1">
      <c r="A113" s="68" t="s">
        <v>553</v>
      </c>
      <c r="B113" s="64" t="s">
        <v>144</v>
      </c>
      <c r="C113" s="65">
        <v>6</v>
      </c>
      <c r="D113" s="65" t="s">
        <v>502</v>
      </c>
      <c r="E113" s="65" t="s">
        <v>554</v>
      </c>
      <c r="F113" s="65"/>
      <c r="G113" s="64" t="s">
        <v>555</v>
      </c>
      <c r="H113" s="64" t="s">
        <v>556</v>
      </c>
      <c r="I113" s="64"/>
      <c r="J113" s="64" t="s">
        <v>32</v>
      </c>
      <c r="K113" s="64" t="s">
        <v>33</v>
      </c>
      <c r="L113" s="64"/>
      <c r="M113" s="64"/>
      <c r="N113" s="64"/>
      <c r="O113" s="64"/>
      <c r="P113" s="64"/>
      <c r="Q113" s="280">
        <v>45826</v>
      </c>
      <c r="R113" s="280">
        <f>Q113+7</f>
        <v>45833</v>
      </c>
      <c r="S113" s="75"/>
      <c r="T113" s="75"/>
      <c r="U113" s="284"/>
      <c r="V113" s="284"/>
      <c r="W113" s="77" t="s">
        <v>557</v>
      </c>
      <c r="X113" s="64"/>
      <c r="AH113" s="73"/>
    </row>
    <row r="114" spans="1:34" s="69" customFormat="1" ht="57">
      <c r="A114" s="68" t="s">
        <v>558</v>
      </c>
      <c r="B114" s="64" t="s">
        <v>199</v>
      </c>
      <c r="C114" s="65">
        <v>6</v>
      </c>
      <c r="D114" s="65" t="s">
        <v>559</v>
      </c>
      <c r="E114" s="65"/>
      <c r="F114" s="65" t="s">
        <v>560</v>
      </c>
      <c r="G114" s="64" t="s">
        <v>561</v>
      </c>
      <c r="H114" s="66" t="s">
        <v>562</v>
      </c>
      <c r="I114" s="66"/>
      <c r="J114" s="64" t="s">
        <v>77</v>
      </c>
      <c r="K114" s="64" t="s">
        <v>499</v>
      </c>
      <c r="L114" s="64" t="s">
        <v>34</v>
      </c>
      <c r="M114" s="64"/>
      <c r="N114" s="64"/>
      <c r="O114" s="64"/>
      <c r="P114" s="64"/>
      <c r="Q114" s="280">
        <v>45820</v>
      </c>
      <c r="R114" s="280">
        <f>Q114+14</f>
        <v>45834</v>
      </c>
      <c r="S114" s="75" t="s">
        <v>260</v>
      </c>
      <c r="T114" s="75"/>
      <c r="U114" s="98"/>
      <c r="V114" s="98"/>
      <c r="W114" s="68" t="s">
        <v>563</v>
      </c>
      <c r="X114" s="64"/>
      <c r="AH114" s="73"/>
    </row>
    <row r="115" spans="1:34" s="69" customFormat="1" ht="57">
      <c r="A115" s="68" t="s">
        <v>564</v>
      </c>
      <c r="B115" s="64" t="s">
        <v>199</v>
      </c>
      <c r="C115" s="65">
        <v>6</v>
      </c>
      <c r="D115" s="65" t="s">
        <v>76</v>
      </c>
      <c r="E115" s="65"/>
      <c r="F115" s="65"/>
      <c r="G115" s="64" t="s">
        <v>565</v>
      </c>
      <c r="H115" s="66" t="s">
        <v>566</v>
      </c>
      <c r="I115" s="66"/>
      <c r="J115" s="64" t="s">
        <v>567</v>
      </c>
      <c r="K115" s="64" t="s">
        <v>311</v>
      </c>
      <c r="L115" s="64"/>
      <c r="M115" s="64"/>
      <c r="N115" s="64"/>
      <c r="O115" s="64"/>
      <c r="P115" s="64"/>
      <c r="Q115" s="280">
        <v>45806</v>
      </c>
      <c r="R115" s="280">
        <f>Q115+30</f>
        <v>45836</v>
      </c>
      <c r="S115" s="67" t="s">
        <v>93</v>
      </c>
      <c r="T115" s="67"/>
      <c r="U115" s="98"/>
      <c r="V115" s="98"/>
      <c r="W115" s="68" t="s">
        <v>568</v>
      </c>
      <c r="X115" s="64"/>
      <c r="AH115" s="73"/>
    </row>
    <row r="116" spans="1:34" s="69" customFormat="1" ht="18.95">
      <c r="A116" s="68" t="s">
        <v>569</v>
      </c>
      <c r="B116" s="64" t="s">
        <v>144</v>
      </c>
      <c r="C116" s="65">
        <v>6</v>
      </c>
      <c r="D116" s="65"/>
      <c r="E116" s="65"/>
      <c r="F116" s="65" t="s">
        <v>300</v>
      </c>
      <c r="G116" s="64" t="s">
        <v>570</v>
      </c>
      <c r="H116" s="66" t="s">
        <v>571</v>
      </c>
      <c r="I116" s="66"/>
      <c r="J116" s="64" t="s">
        <v>32</v>
      </c>
      <c r="K116" s="64" t="s">
        <v>572</v>
      </c>
      <c r="L116" s="64" t="s">
        <v>111</v>
      </c>
      <c r="M116" s="64"/>
      <c r="N116" s="64"/>
      <c r="O116" s="64"/>
      <c r="P116" s="64"/>
      <c r="Q116" s="280">
        <v>45833</v>
      </c>
      <c r="R116" s="280">
        <f>Q116+7</f>
        <v>45840</v>
      </c>
      <c r="S116" s="67" t="s">
        <v>260</v>
      </c>
      <c r="T116" s="67"/>
      <c r="U116" s="98"/>
      <c r="V116" s="98"/>
      <c r="W116" s="104"/>
      <c r="X116" s="64"/>
      <c r="AH116" s="73"/>
    </row>
    <row r="117" spans="1:34" s="69" customFormat="1" ht="38.1">
      <c r="A117" s="251" t="s">
        <v>573</v>
      </c>
      <c r="B117" s="64" t="s">
        <v>144</v>
      </c>
      <c r="C117" s="65">
        <v>6</v>
      </c>
      <c r="D117" s="65" t="s">
        <v>28</v>
      </c>
      <c r="E117" s="65" t="s">
        <v>36</v>
      </c>
      <c r="F117" s="65" t="s">
        <v>43</v>
      </c>
      <c r="G117" s="64" t="s">
        <v>574</v>
      </c>
      <c r="H117" s="66" t="s">
        <v>575</v>
      </c>
      <c r="I117" s="66">
        <v>60000</v>
      </c>
      <c r="J117" s="64" t="s">
        <v>32</v>
      </c>
      <c r="K117" s="64" t="s">
        <v>33</v>
      </c>
      <c r="L117" s="64" t="s">
        <v>46</v>
      </c>
      <c r="M117" s="64"/>
      <c r="N117" s="64"/>
      <c r="O117" s="64"/>
      <c r="P117" s="64"/>
      <c r="Q117" s="280">
        <v>45852</v>
      </c>
      <c r="R117" s="280">
        <f>Q117+4</f>
        <v>45856</v>
      </c>
      <c r="S117" s="67" t="s">
        <v>37</v>
      </c>
      <c r="T117" s="67"/>
      <c r="U117" s="98"/>
      <c r="V117" s="98"/>
      <c r="W117" s="68" t="s">
        <v>576</v>
      </c>
      <c r="X117" s="64"/>
      <c r="AH117" s="73"/>
    </row>
    <row r="118" spans="1:34" s="69" customFormat="1" ht="38.1">
      <c r="A118" s="251" t="s">
        <v>577</v>
      </c>
      <c r="B118" s="64" t="s">
        <v>104</v>
      </c>
      <c r="C118" s="65">
        <v>6</v>
      </c>
      <c r="D118" s="65" t="s">
        <v>28</v>
      </c>
      <c r="E118" s="65" t="s">
        <v>42</v>
      </c>
      <c r="F118" s="65" t="s">
        <v>43</v>
      </c>
      <c r="G118" s="64" t="s">
        <v>578</v>
      </c>
      <c r="H118" s="66" t="s">
        <v>579</v>
      </c>
      <c r="I118" s="66"/>
      <c r="J118" s="64" t="s">
        <v>32</v>
      </c>
      <c r="K118" s="64" t="s">
        <v>33</v>
      </c>
      <c r="L118" s="64" t="s">
        <v>127</v>
      </c>
      <c r="M118" s="64"/>
      <c r="N118" s="64"/>
      <c r="O118" s="64"/>
      <c r="P118" s="64"/>
      <c r="Q118" s="280">
        <v>45852</v>
      </c>
      <c r="R118" s="280">
        <f>Q118+5</f>
        <v>45857</v>
      </c>
      <c r="S118" s="67" t="s">
        <v>37</v>
      </c>
      <c r="T118" s="67"/>
      <c r="U118" s="98"/>
      <c r="V118" s="98"/>
      <c r="W118" s="68" t="s">
        <v>580</v>
      </c>
      <c r="X118" s="64"/>
      <c r="AH118" s="73"/>
    </row>
    <row r="119" spans="1:34" s="69" customFormat="1" ht="114">
      <c r="A119" s="68" t="s">
        <v>581</v>
      </c>
      <c r="B119" s="64" t="s">
        <v>144</v>
      </c>
      <c r="C119" s="65">
        <v>6</v>
      </c>
      <c r="D119" s="65" t="s">
        <v>28</v>
      </c>
      <c r="E119" s="65"/>
      <c r="F119" s="65" t="s">
        <v>582</v>
      </c>
      <c r="G119" s="64"/>
      <c r="H119" s="66" t="s">
        <v>583</v>
      </c>
      <c r="I119" s="66"/>
      <c r="J119" s="64" t="s">
        <v>32</v>
      </c>
      <c r="K119" s="64" t="s">
        <v>33</v>
      </c>
      <c r="L119" s="64" t="s">
        <v>584</v>
      </c>
      <c r="M119" s="64"/>
      <c r="N119" s="64"/>
      <c r="O119" s="64"/>
      <c r="P119" s="64"/>
      <c r="Q119" s="280">
        <v>45852</v>
      </c>
      <c r="R119" s="280">
        <f>Q119+6</f>
        <v>45858</v>
      </c>
      <c r="S119" s="67" t="s">
        <v>37</v>
      </c>
      <c r="T119" s="67"/>
      <c r="U119" s="98"/>
      <c r="V119" s="98"/>
      <c r="W119" s="68" t="s">
        <v>585</v>
      </c>
      <c r="X119" s="64"/>
      <c r="AH119" s="73"/>
    </row>
    <row r="120" spans="1:34" s="69" customFormat="1" ht="104.1" customHeight="1">
      <c r="A120" s="68" t="s">
        <v>586</v>
      </c>
      <c r="B120" s="64" t="s">
        <v>104</v>
      </c>
      <c r="C120" s="65">
        <v>6</v>
      </c>
      <c r="D120" s="65" t="s">
        <v>28</v>
      </c>
      <c r="E120" s="65"/>
      <c r="F120" s="65" t="s">
        <v>32</v>
      </c>
      <c r="G120" s="64" t="s">
        <v>183</v>
      </c>
      <c r="H120" s="64" t="s">
        <v>587</v>
      </c>
      <c r="I120" s="64"/>
      <c r="J120" s="64" t="s">
        <v>32</v>
      </c>
      <c r="K120" s="64" t="s">
        <v>33</v>
      </c>
      <c r="L120" s="64" t="s">
        <v>588</v>
      </c>
      <c r="M120" s="64"/>
      <c r="N120" s="64"/>
      <c r="O120" s="64"/>
      <c r="P120" s="64"/>
      <c r="Q120" s="280">
        <v>45852</v>
      </c>
      <c r="R120" s="280">
        <f>Q120+7</f>
        <v>45859</v>
      </c>
      <c r="S120" s="75" t="s">
        <v>37</v>
      </c>
      <c r="T120" s="308"/>
      <c r="U120" s="287"/>
      <c r="V120" s="287"/>
      <c r="W120" s="93" t="s">
        <v>589</v>
      </c>
      <c r="X120" s="64"/>
      <c r="AH120" s="73"/>
    </row>
    <row r="121" spans="1:34" s="69" customFormat="1" ht="75.95">
      <c r="A121" s="68" t="s">
        <v>590</v>
      </c>
      <c r="B121" s="64" t="s">
        <v>144</v>
      </c>
      <c r="C121" s="65">
        <v>6</v>
      </c>
      <c r="D121" s="65" t="s">
        <v>591</v>
      </c>
      <c r="E121" s="65"/>
      <c r="F121" s="65" t="s">
        <v>253</v>
      </c>
      <c r="G121" s="64" t="s">
        <v>592</v>
      </c>
      <c r="H121" s="64" t="s">
        <v>593</v>
      </c>
      <c r="I121" s="64"/>
      <c r="J121" s="64" t="s">
        <v>32</v>
      </c>
      <c r="K121" s="64" t="s">
        <v>594</v>
      </c>
      <c r="L121" s="64" t="s">
        <v>46</v>
      </c>
      <c r="M121" s="64"/>
      <c r="N121" s="64"/>
      <c r="O121" s="64"/>
      <c r="P121" s="64"/>
      <c r="Q121" s="280">
        <v>45852</v>
      </c>
      <c r="R121" s="280">
        <f>Q121+7</f>
        <v>45859</v>
      </c>
      <c r="S121" s="67" t="s">
        <v>37</v>
      </c>
      <c r="T121" s="92"/>
      <c r="U121" s="309"/>
      <c r="V121" s="309"/>
      <c r="W121" s="93" t="s">
        <v>595</v>
      </c>
      <c r="X121" s="64"/>
      <c r="AH121" s="73"/>
    </row>
    <row r="122" spans="1:34" s="69" customFormat="1" ht="18.95">
      <c r="A122" s="68" t="s">
        <v>596</v>
      </c>
      <c r="B122" s="64" t="s">
        <v>104</v>
      </c>
      <c r="C122" s="65">
        <v>6</v>
      </c>
      <c r="D122" s="65" t="s">
        <v>28</v>
      </c>
      <c r="E122" s="65" t="s">
        <v>42</v>
      </c>
      <c r="F122" s="65" t="s">
        <v>43</v>
      </c>
      <c r="G122" s="64" t="s">
        <v>597</v>
      </c>
      <c r="H122" s="66" t="s">
        <v>596</v>
      </c>
      <c r="I122" s="66"/>
      <c r="J122" s="64" t="s">
        <v>32</v>
      </c>
      <c r="K122" s="64" t="s">
        <v>33</v>
      </c>
      <c r="L122" s="64" t="s">
        <v>46</v>
      </c>
      <c r="M122" s="64"/>
      <c r="N122" s="64"/>
      <c r="O122" s="64"/>
      <c r="P122" s="64"/>
      <c r="Q122" s="280">
        <v>45854</v>
      </c>
      <c r="R122" s="280">
        <f>Q122+6</f>
        <v>45860</v>
      </c>
      <c r="S122" s="67" t="s">
        <v>37</v>
      </c>
      <c r="T122" s="92"/>
      <c r="U122" s="287"/>
      <c r="V122" s="287"/>
      <c r="W122" s="93" t="s">
        <v>598</v>
      </c>
      <c r="X122" s="64"/>
      <c r="AH122" s="73"/>
    </row>
    <row r="123" spans="1:34" s="69" customFormat="1" ht="38.1">
      <c r="A123" s="68" t="s">
        <v>599</v>
      </c>
      <c r="B123" s="64" t="s">
        <v>144</v>
      </c>
      <c r="C123" s="65">
        <v>6</v>
      </c>
      <c r="D123" s="65" t="s">
        <v>600</v>
      </c>
      <c r="E123" s="65" t="s">
        <v>36</v>
      </c>
      <c r="F123" s="65" t="s">
        <v>43</v>
      </c>
      <c r="G123" s="64" t="s">
        <v>601</v>
      </c>
      <c r="H123" s="66" t="s">
        <v>602</v>
      </c>
      <c r="I123" s="66"/>
      <c r="J123" s="64" t="s">
        <v>32</v>
      </c>
      <c r="K123" s="64" t="s">
        <v>33</v>
      </c>
      <c r="L123" s="64" t="s">
        <v>46</v>
      </c>
      <c r="M123" s="64"/>
      <c r="N123" s="64"/>
      <c r="O123" s="64"/>
      <c r="P123" s="64"/>
      <c r="Q123" s="280">
        <v>45960</v>
      </c>
      <c r="R123" s="280">
        <f>Q123+6</f>
        <v>45966</v>
      </c>
      <c r="S123" s="67" t="s">
        <v>37</v>
      </c>
      <c r="T123" s="92"/>
      <c r="U123" s="287"/>
      <c r="V123" s="287"/>
      <c r="W123" s="93" t="s">
        <v>603</v>
      </c>
      <c r="X123" s="64"/>
      <c r="AH123" s="73"/>
    </row>
    <row r="124" spans="1:34" s="69" customFormat="1" ht="38.1">
      <c r="A124" s="77" t="s">
        <v>604</v>
      </c>
      <c r="B124" s="64" t="s">
        <v>144</v>
      </c>
      <c r="C124" s="65">
        <v>6</v>
      </c>
      <c r="D124" s="65" t="s">
        <v>502</v>
      </c>
      <c r="E124" s="65"/>
      <c r="F124" s="65" t="s">
        <v>253</v>
      </c>
      <c r="G124" s="64" t="s">
        <v>605</v>
      </c>
      <c r="H124" s="64" t="s">
        <v>485</v>
      </c>
      <c r="I124" s="64">
        <v>661</v>
      </c>
      <c r="J124" s="64" t="s">
        <v>32</v>
      </c>
      <c r="K124" s="64" t="s">
        <v>394</v>
      </c>
      <c r="L124" s="64" t="s">
        <v>46</v>
      </c>
      <c r="M124" s="64"/>
      <c r="N124" s="64"/>
      <c r="O124" s="64"/>
      <c r="P124" s="64"/>
      <c r="Q124" s="280">
        <v>45854</v>
      </c>
      <c r="R124" s="280">
        <f>Q124+7</f>
        <v>45861</v>
      </c>
      <c r="S124" s="75" t="s">
        <v>37</v>
      </c>
      <c r="T124" s="308"/>
      <c r="U124" s="309"/>
      <c r="V124" s="309"/>
      <c r="W124" s="93" t="s">
        <v>606</v>
      </c>
      <c r="X124" s="64"/>
      <c r="AH124" s="73"/>
    </row>
    <row r="125" spans="1:34" s="69" customFormat="1" ht="18.95">
      <c r="A125" s="68" t="s">
        <v>607</v>
      </c>
      <c r="B125" s="64" t="s">
        <v>144</v>
      </c>
      <c r="C125" s="65">
        <v>6</v>
      </c>
      <c r="D125" s="79"/>
      <c r="E125" s="79"/>
      <c r="F125" s="65" t="s">
        <v>509</v>
      </c>
      <c r="G125" s="65"/>
      <c r="H125" s="64" t="s">
        <v>608</v>
      </c>
      <c r="I125" s="64"/>
      <c r="J125" s="64" t="s">
        <v>32</v>
      </c>
      <c r="K125" s="64" t="s">
        <v>394</v>
      </c>
      <c r="L125" s="64" t="s">
        <v>46</v>
      </c>
      <c r="M125" s="64"/>
      <c r="N125" s="64"/>
      <c r="O125" s="64"/>
      <c r="P125" s="64"/>
      <c r="Q125" s="280">
        <v>45854</v>
      </c>
      <c r="R125" s="280">
        <f>Q125+7</f>
        <v>45861</v>
      </c>
      <c r="S125" s="67" t="s">
        <v>37</v>
      </c>
      <c r="T125" s="92"/>
      <c r="U125" s="309"/>
      <c r="V125" s="309"/>
      <c r="W125" s="93" t="s">
        <v>609</v>
      </c>
      <c r="X125" s="64"/>
      <c r="AH125" s="73"/>
    </row>
    <row r="126" spans="1:34" s="69" customFormat="1" ht="38.1">
      <c r="A126" s="252" t="s">
        <v>610</v>
      </c>
      <c r="B126" s="64" t="s">
        <v>144</v>
      </c>
      <c r="C126" s="65">
        <v>6</v>
      </c>
      <c r="D126" s="65" t="s">
        <v>178</v>
      </c>
      <c r="E126" s="65"/>
      <c r="F126" s="65"/>
      <c r="G126" s="64"/>
      <c r="H126" s="64" t="s">
        <v>611</v>
      </c>
      <c r="I126" s="64"/>
      <c r="J126" s="64" t="s">
        <v>32</v>
      </c>
      <c r="K126" s="64" t="s">
        <v>499</v>
      </c>
      <c r="L126" s="64"/>
      <c r="M126" s="64"/>
      <c r="N126" s="64"/>
      <c r="O126" s="64"/>
      <c r="P126" s="64"/>
      <c r="Q126" s="280">
        <v>45796</v>
      </c>
      <c r="R126" s="280">
        <f>Q126+70</f>
        <v>45866</v>
      </c>
      <c r="S126" s="67" t="s">
        <v>260</v>
      </c>
      <c r="T126" s="92"/>
      <c r="U126" s="287"/>
      <c r="V126" s="287"/>
      <c r="W126" s="93" t="s">
        <v>612</v>
      </c>
      <c r="X126" s="64"/>
      <c r="AH126" s="73"/>
    </row>
    <row r="127" spans="1:34" s="69" customFormat="1" ht="38.1">
      <c r="A127" s="68" t="s">
        <v>613</v>
      </c>
      <c r="B127" s="64" t="s">
        <v>104</v>
      </c>
      <c r="C127" s="65">
        <v>6</v>
      </c>
      <c r="D127" s="65" t="s">
        <v>28</v>
      </c>
      <c r="E127" s="65"/>
      <c r="F127" s="65" t="s">
        <v>614</v>
      </c>
      <c r="G127" s="64" t="s">
        <v>615</v>
      </c>
      <c r="H127" s="71" t="s">
        <v>616</v>
      </c>
      <c r="I127" s="71"/>
      <c r="J127" s="64" t="s">
        <v>32</v>
      </c>
      <c r="K127" s="64" t="s">
        <v>33</v>
      </c>
      <c r="L127" s="64" t="s">
        <v>163</v>
      </c>
      <c r="M127" s="64"/>
      <c r="N127" s="64"/>
      <c r="O127" s="72"/>
      <c r="P127" s="72"/>
      <c r="Q127" s="280">
        <v>45852</v>
      </c>
      <c r="R127" s="280">
        <f>Q127+14</f>
        <v>45866</v>
      </c>
      <c r="S127" s="67" t="s">
        <v>37</v>
      </c>
      <c r="T127" s="92"/>
      <c r="U127" s="287"/>
      <c r="V127" s="287"/>
      <c r="W127" s="93" t="s">
        <v>617</v>
      </c>
      <c r="X127" s="64"/>
      <c r="AH127" s="73"/>
    </row>
    <row r="128" spans="1:34" s="69" customFormat="1" ht="95.1">
      <c r="A128" s="68" t="s">
        <v>618</v>
      </c>
      <c r="B128" s="64" t="s">
        <v>199</v>
      </c>
      <c r="C128" s="65">
        <v>6</v>
      </c>
      <c r="D128" s="65"/>
      <c r="E128" s="65"/>
      <c r="F128" s="65" t="s">
        <v>32</v>
      </c>
      <c r="G128" s="64" t="s">
        <v>619</v>
      </c>
      <c r="H128" s="64" t="s">
        <v>620</v>
      </c>
      <c r="I128" s="64"/>
      <c r="J128" s="64" t="s">
        <v>32</v>
      </c>
      <c r="K128" s="64" t="s">
        <v>33</v>
      </c>
      <c r="L128" s="64" t="s">
        <v>34</v>
      </c>
      <c r="M128" s="64" t="s">
        <v>621</v>
      </c>
      <c r="N128" s="64" t="s">
        <v>64</v>
      </c>
      <c r="O128" s="64"/>
      <c r="P128" s="64"/>
      <c r="Q128" s="280">
        <v>45875</v>
      </c>
      <c r="R128" s="280">
        <f>Q128+4</f>
        <v>45879</v>
      </c>
      <c r="S128" s="75" t="s">
        <v>37</v>
      </c>
      <c r="T128" s="308"/>
      <c r="U128" s="287"/>
      <c r="V128" s="287"/>
      <c r="W128" s="93" t="s">
        <v>622</v>
      </c>
      <c r="X128" s="64"/>
      <c r="AH128" s="73"/>
    </row>
    <row r="129" spans="1:34" s="69" customFormat="1" ht="38.1">
      <c r="A129" s="68" t="s">
        <v>623</v>
      </c>
      <c r="B129" s="64" t="s">
        <v>144</v>
      </c>
      <c r="C129" s="65">
        <v>6</v>
      </c>
      <c r="D129" s="65"/>
      <c r="E129" s="65"/>
      <c r="F129" s="65"/>
      <c r="G129" s="64" t="s">
        <v>624</v>
      </c>
      <c r="H129" s="64" t="s">
        <v>625</v>
      </c>
      <c r="I129" s="64"/>
      <c r="J129" s="64" t="s">
        <v>32</v>
      </c>
      <c r="K129" s="64" t="s">
        <v>33</v>
      </c>
      <c r="L129" s="64" t="s">
        <v>111</v>
      </c>
      <c r="M129" s="64"/>
      <c r="N129" s="64"/>
      <c r="O129" s="64"/>
      <c r="P129" s="64">
        <v>1</v>
      </c>
      <c r="Q129" s="280">
        <v>45796</v>
      </c>
      <c r="R129" s="280">
        <f>Q129+90</f>
        <v>45886</v>
      </c>
      <c r="S129" s="67" t="s">
        <v>260</v>
      </c>
      <c r="T129" s="92"/>
      <c r="U129" s="287"/>
      <c r="V129" s="287"/>
      <c r="W129" s="93" t="s">
        <v>626</v>
      </c>
      <c r="X129" s="64"/>
      <c r="AH129" s="73"/>
    </row>
    <row r="130" spans="1:34" s="69" customFormat="1" ht="38.1">
      <c r="A130" s="68" t="s">
        <v>627</v>
      </c>
      <c r="B130" s="64" t="s">
        <v>144</v>
      </c>
      <c r="C130" s="65">
        <v>6</v>
      </c>
      <c r="D130" s="65" t="s">
        <v>28</v>
      </c>
      <c r="E130" s="65"/>
      <c r="F130" s="65"/>
      <c r="G130" s="64" t="s">
        <v>628</v>
      </c>
      <c r="H130" s="64" t="s">
        <v>629</v>
      </c>
      <c r="I130" s="64"/>
      <c r="J130" s="64" t="s">
        <v>630</v>
      </c>
      <c r="K130" s="64" t="s">
        <v>33</v>
      </c>
      <c r="L130" s="64" t="s">
        <v>186</v>
      </c>
      <c r="M130" s="64"/>
      <c r="N130" s="64"/>
      <c r="O130" s="64"/>
      <c r="P130" s="64"/>
      <c r="Q130" s="280">
        <v>45796</v>
      </c>
      <c r="R130" s="280">
        <f>Q130+90</f>
        <v>45886</v>
      </c>
      <c r="S130" s="67" t="s">
        <v>260</v>
      </c>
      <c r="T130" s="67"/>
      <c r="U130" s="284"/>
      <c r="V130" s="284"/>
      <c r="W130" s="68" t="s">
        <v>631</v>
      </c>
      <c r="X130" s="64"/>
      <c r="AH130" s="73"/>
    </row>
    <row r="131" spans="1:34" s="69" customFormat="1" ht="285">
      <c r="A131" s="68" t="s">
        <v>632</v>
      </c>
      <c r="B131" s="64" t="s">
        <v>278</v>
      </c>
      <c r="C131" s="65">
        <v>6</v>
      </c>
      <c r="D131" s="65" t="s">
        <v>633</v>
      </c>
      <c r="E131" s="65"/>
      <c r="F131" s="65" t="s">
        <v>634</v>
      </c>
      <c r="G131" s="64" t="s">
        <v>635</v>
      </c>
      <c r="H131" s="66" t="s">
        <v>562</v>
      </c>
      <c r="I131" s="66"/>
      <c r="J131" s="64" t="s">
        <v>32</v>
      </c>
      <c r="K131" s="64" t="s">
        <v>224</v>
      </c>
      <c r="L131" s="64" t="s">
        <v>111</v>
      </c>
      <c r="M131" s="64" t="s">
        <v>112</v>
      </c>
      <c r="N131" s="64" t="s">
        <v>36</v>
      </c>
      <c r="O131" s="64"/>
      <c r="P131" s="64"/>
      <c r="Q131" s="280">
        <v>45859</v>
      </c>
      <c r="R131" s="280">
        <f>Q131+30</f>
        <v>45889</v>
      </c>
      <c r="S131" s="67" t="s">
        <v>37</v>
      </c>
      <c r="T131" s="67"/>
      <c r="U131" s="98"/>
      <c r="V131" s="98"/>
      <c r="W131" s="68" t="s">
        <v>636</v>
      </c>
      <c r="X131" s="64"/>
      <c r="AH131" s="73"/>
    </row>
    <row r="132" spans="1:34" s="69" customFormat="1" ht="18.95">
      <c r="A132" s="68" t="s">
        <v>637</v>
      </c>
      <c r="B132" s="64" t="s">
        <v>144</v>
      </c>
      <c r="C132" s="65">
        <v>6</v>
      </c>
      <c r="D132" s="65"/>
      <c r="E132" s="65"/>
      <c r="F132" s="65" t="s">
        <v>347</v>
      </c>
      <c r="G132" s="64"/>
      <c r="H132" s="71" t="s">
        <v>638</v>
      </c>
      <c r="I132" s="71"/>
      <c r="J132" s="64" t="s">
        <v>32</v>
      </c>
      <c r="K132" s="64" t="s">
        <v>33</v>
      </c>
      <c r="L132" s="64" t="s">
        <v>111</v>
      </c>
      <c r="M132" s="64"/>
      <c r="N132" s="64"/>
      <c r="O132" s="72"/>
      <c r="P132" s="72"/>
      <c r="Q132" s="280">
        <v>45881</v>
      </c>
      <c r="R132" s="280">
        <f>Q132+14</f>
        <v>45895</v>
      </c>
      <c r="S132" s="67" t="s">
        <v>37</v>
      </c>
      <c r="T132" s="92"/>
      <c r="U132" s="287"/>
      <c r="V132" s="287"/>
      <c r="W132" s="93" t="s">
        <v>639</v>
      </c>
      <c r="X132" s="64"/>
      <c r="AH132" s="73"/>
    </row>
    <row r="133" spans="1:34" s="69" customFormat="1" ht="114">
      <c r="A133" s="68" t="s">
        <v>640</v>
      </c>
      <c r="B133" s="64" t="s">
        <v>144</v>
      </c>
      <c r="C133" s="65">
        <v>6</v>
      </c>
      <c r="D133" s="65"/>
      <c r="E133" s="65"/>
      <c r="F133" s="65" t="s">
        <v>32</v>
      </c>
      <c r="G133" s="64" t="s">
        <v>641</v>
      </c>
      <c r="H133" s="64" t="s">
        <v>642</v>
      </c>
      <c r="I133" s="64"/>
      <c r="J133" s="64" t="s">
        <v>32</v>
      </c>
      <c r="K133" s="64" t="s">
        <v>33</v>
      </c>
      <c r="L133" s="64"/>
      <c r="M133" s="64"/>
      <c r="N133" s="64"/>
      <c r="O133" s="64"/>
      <c r="P133" s="64"/>
      <c r="Q133" s="280">
        <v>45884</v>
      </c>
      <c r="R133" s="280">
        <f>Q133+14</f>
        <v>45898</v>
      </c>
      <c r="S133" s="67" t="s">
        <v>37</v>
      </c>
      <c r="T133" s="92"/>
      <c r="U133" s="309"/>
      <c r="V133" s="309"/>
      <c r="W133" s="93" t="s">
        <v>643</v>
      </c>
      <c r="X133" s="64"/>
      <c r="AH133" s="73"/>
    </row>
    <row r="134" spans="1:34" s="69" customFormat="1" ht="152.1">
      <c r="A134" s="68" t="s">
        <v>644</v>
      </c>
      <c r="B134" s="64" t="s">
        <v>144</v>
      </c>
      <c r="C134" s="65">
        <v>6</v>
      </c>
      <c r="D134" s="65"/>
      <c r="E134" s="65" t="s">
        <v>645</v>
      </c>
      <c r="F134" s="65" t="s">
        <v>416</v>
      </c>
      <c r="G134" s="64" t="s">
        <v>646</v>
      </c>
      <c r="H134" s="64" t="s">
        <v>647</v>
      </c>
      <c r="I134" s="64"/>
      <c r="J134" s="64" t="s">
        <v>32</v>
      </c>
      <c r="K134" s="64" t="s">
        <v>33</v>
      </c>
      <c r="L134" s="64" t="s">
        <v>46</v>
      </c>
      <c r="M134" s="64"/>
      <c r="N134" s="64" t="s">
        <v>64</v>
      </c>
      <c r="O134" s="64"/>
      <c r="P134" s="64"/>
      <c r="Q134" s="280">
        <v>45854</v>
      </c>
      <c r="R134" s="280">
        <f>Q134+45</f>
        <v>45899</v>
      </c>
      <c r="S134" s="67" t="s">
        <v>37</v>
      </c>
      <c r="T134" s="92"/>
      <c r="U134" s="287"/>
      <c r="V134" s="287"/>
      <c r="W134" s="93" t="s">
        <v>648</v>
      </c>
      <c r="X134" s="64"/>
      <c r="AH134" s="73"/>
    </row>
    <row r="135" spans="1:34" s="69" customFormat="1" ht="18.95">
      <c r="A135" s="68" t="s">
        <v>649</v>
      </c>
      <c r="B135" s="64" t="s">
        <v>144</v>
      </c>
      <c r="C135" s="65">
        <v>6</v>
      </c>
      <c r="D135" s="65"/>
      <c r="E135" s="65"/>
      <c r="F135" s="65" t="s">
        <v>32</v>
      </c>
      <c r="G135" s="64"/>
      <c r="H135" s="71" t="s">
        <v>650</v>
      </c>
      <c r="I135" s="71">
        <v>30</v>
      </c>
      <c r="J135" s="64" t="s">
        <v>32</v>
      </c>
      <c r="K135" s="64" t="s">
        <v>33</v>
      </c>
      <c r="L135" s="64" t="s">
        <v>46</v>
      </c>
      <c r="M135" s="64"/>
      <c r="N135" s="64"/>
      <c r="O135" s="72"/>
      <c r="P135" s="72"/>
      <c r="Q135" s="280">
        <v>45852</v>
      </c>
      <c r="R135" s="280">
        <f>Q135+60</f>
        <v>45912</v>
      </c>
      <c r="S135" s="308" t="s">
        <v>37</v>
      </c>
      <c r="T135" s="308"/>
      <c r="U135" s="287"/>
      <c r="V135" s="287"/>
      <c r="W135" s="93" t="s">
        <v>651</v>
      </c>
      <c r="X135" s="64"/>
      <c r="AH135" s="73"/>
    </row>
    <row r="136" spans="1:34" s="69" customFormat="1" ht="57">
      <c r="A136" s="252" t="s">
        <v>652</v>
      </c>
      <c r="B136" s="64" t="s">
        <v>144</v>
      </c>
      <c r="C136" s="65">
        <v>6</v>
      </c>
      <c r="D136" s="65"/>
      <c r="E136" s="65"/>
      <c r="F136" s="65" t="s">
        <v>32</v>
      </c>
      <c r="G136" s="64"/>
      <c r="H136" s="64" t="s">
        <v>653</v>
      </c>
      <c r="I136" s="64"/>
      <c r="J136" s="64" t="s">
        <v>32</v>
      </c>
      <c r="K136" s="64" t="s">
        <v>315</v>
      </c>
      <c r="L136" s="64" t="s">
        <v>54</v>
      </c>
      <c r="M136" s="64"/>
      <c r="N136" s="64"/>
      <c r="O136" s="64"/>
      <c r="P136" s="64"/>
      <c r="Q136" s="280">
        <v>45852</v>
      </c>
      <c r="R136" s="280">
        <f>Q136+65</f>
        <v>45917</v>
      </c>
      <c r="S136" s="92" t="s">
        <v>37</v>
      </c>
      <c r="T136" s="92"/>
      <c r="U136" s="287"/>
      <c r="V136" s="287"/>
      <c r="W136" s="93" t="s">
        <v>654</v>
      </c>
      <c r="X136" s="64"/>
      <c r="AH136" s="73"/>
    </row>
    <row r="137" spans="1:34" s="69" customFormat="1" ht="18.95">
      <c r="A137" s="68" t="s">
        <v>655</v>
      </c>
      <c r="B137" s="64" t="s">
        <v>144</v>
      </c>
      <c r="C137" s="65">
        <v>6</v>
      </c>
      <c r="D137" s="65"/>
      <c r="E137" s="65"/>
      <c r="F137" s="65" t="s">
        <v>145</v>
      </c>
      <c r="G137" s="64" t="s">
        <v>656</v>
      </c>
      <c r="H137" s="64" t="s">
        <v>657</v>
      </c>
      <c r="I137" s="64"/>
      <c r="J137" s="64" t="s">
        <v>32</v>
      </c>
      <c r="K137" s="64" t="s">
        <v>33</v>
      </c>
      <c r="L137" s="64"/>
      <c r="M137" s="64"/>
      <c r="N137" s="64"/>
      <c r="O137" s="64"/>
      <c r="P137" s="64"/>
      <c r="Q137" s="280">
        <v>45915</v>
      </c>
      <c r="R137" s="280">
        <f>Q137+7</f>
        <v>45922</v>
      </c>
      <c r="S137" s="92"/>
      <c r="T137" s="92"/>
      <c r="U137" s="287"/>
      <c r="V137" s="287"/>
      <c r="W137" s="93" t="s">
        <v>658</v>
      </c>
      <c r="X137" s="64"/>
      <c r="AH137" s="73"/>
    </row>
    <row r="138" spans="1:34" s="69" customFormat="1" ht="18.95">
      <c r="A138" s="68" t="s">
        <v>659</v>
      </c>
      <c r="B138" s="64" t="s">
        <v>144</v>
      </c>
      <c r="C138" s="65">
        <v>6</v>
      </c>
      <c r="D138" s="65"/>
      <c r="E138" s="65"/>
      <c r="F138" s="65" t="s">
        <v>145</v>
      </c>
      <c r="G138" s="64" t="s">
        <v>660</v>
      </c>
      <c r="H138" s="64" t="s">
        <v>661</v>
      </c>
      <c r="I138" s="64"/>
      <c r="J138" s="64" t="s">
        <v>32</v>
      </c>
      <c r="K138" s="64" t="s">
        <v>33</v>
      </c>
      <c r="L138" s="64" t="s">
        <v>80</v>
      </c>
      <c r="M138" s="64"/>
      <c r="N138" s="64"/>
      <c r="O138" s="64"/>
      <c r="P138" s="64"/>
      <c r="Q138" s="280">
        <v>45915</v>
      </c>
      <c r="R138" s="280">
        <f>Q138+7</f>
        <v>45922</v>
      </c>
      <c r="S138" s="308"/>
      <c r="T138" s="308"/>
      <c r="U138" s="309"/>
      <c r="V138" s="309"/>
      <c r="W138" s="93" t="s">
        <v>662</v>
      </c>
      <c r="X138" s="64"/>
      <c r="AH138" s="73"/>
    </row>
    <row r="139" spans="1:34" s="69" customFormat="1" ht="38.1">
      <c r="A139" s="68" t="s">
        <v>663</v>
      </c>
      <c r="B139" s="64" t="s">
        <v>199</v>
      </c>
      <c r="C139" s="65">
        <v>6</v>
      </c>
      <c r="D139" s="65" t="s">
        <v>664</v>
      </c>
      <c r="E139" s="65"/>
      <c r="F139" s="65" t="s">
        <v>264</v>
      </c>
      <c r="G139" s="64" t="s">
        <v>90</v>
      </c>
      <c r="H139" s="64" t="s">
        <v>665</v>
      </c>
      <c r="I139" s="64"/>
      <c r="J139" s="64" t="s">
        <v>264</v>
      </c>
      <c r="K139" s="64" t="s">
        <v>311</v>
      </c>
      <c r="L139" s="64" t="s">
        <v>186</v>
      </c>
      <c r="M139" s="78"/>
      <c r="N139" s="78"/>
      <c r="O139" s="78"/>
      <c r="P139" s="64"/>
      <c r="Q139" s="280">
        <v>45778</v>
      </c>
      <c r="R139" s="280">
        <f>Q139+150</f>
        <v>45928</v>
      </c>
      <c r="S139" s="92" t="s">
        <v>260</v>
      </c>
      <c r="T139" s="92"/>
      <c r="U139" s="287"/>
      <c r="V139" s="287"/>
      <c r="W139" s="93" t="s">
        <v>666</v>
      </c>
      <c r="X139" s="64"/>
      <c r="AH139" s="73"/>
    </row>
    <row r="140" spans="1:34" s="69" customFormat="1" ht="18.95">
      <c r="A140" s="68" t="s">
        <v>667</v>
      </c>
      <c r="B140" s="64" t="s">
        <v>144</v>
      </c>
      <c r="C140" s="65">
        <v>6</v>
      </c>
      <c r="D140" s="65" t="s">
        <v>41</v>
      </c>
      <c r="E140" s="65" t="s">
        <v>42</v>
      </c>
      <c r="F140" s="65" t="s">
        <v>43</v>
      </c>
      <c r="G140" s="64"/>
      <c r="H140" s="66" t="s">
        <v>668</v>
      </c>
      <c r="I140" s="66"/>
      <c r="J140" s="64" t="s">
        <v>32</v>
      </c>
      <c r="K140" s="64" t="s">
        <v>33</v>
      </c>
      <c r="L140" s="64" t="s">
        <v>111</v>
      </c>
      <c r="M140" s="64"/>
      <c r="N140" s="64"/>
      <c r="O140" s="64"/>
      <c r="P140" s="64"/>
      <c r="Q140" s="280">
        <v>45924</v>
      </c>
      <c r="R140" s="280">
        <f>Q140+5</f>
        <v>45929</v>
      </c>
      <c r="S140" s="92" t="s">
        <v>260</v>
      </c>
      <c r="T140" s="92"/>
      <c r="U140" s="98"/>
      <c r="V140" s="98"/>
      <c r="W140" s="104" t="s">
        <v>669</v>
      </c>
      <c r="X140" s="64"/>
      <c r="AH140" s="73"/>
    </row>
    <row r="141" spans="1:34" s="69" customFormat="1" ht="209.1">
      <c r="A141" s="68" t="s">
        <v>670</v>
      </c>
      <c r="B141" s="64" t="s">
        <v>137</v>
      </c>
      <c r="C141" s="65">
        <v>6</v>
      </c>
      <c r="D141" s="65" t="s">
        <v>671</v>
      </c>
      <c r="E141" s="65" t="s">
        <v>672</v>
      </c>
      <c r="F141" s="65" t="s">
        <v>673</v>
      </c>
      <c r="G141" s="64"/>
      <c r="H141" s="64" t="s">
        <v>674</v>
      </c>
      <c r="I141" s="64"/>
      <c r="J141" s="64" t="s">
        <v>32</v>
      </c>
      <c r="K141" s="64" t="s">
        <v>33</v>
      </c>
      <c r="L141" s="64" t="s">
        <v>46</v>
      </c>
      <c r="M141" s="78"/>
      <c r="N141" s="78"/>
      <c r="O141" s="78"/>
      <c r="P141" s="64"/>
      <c r="Q141" s="280">
        <v>45916</v>
      </c>
      <c r="R141" s="280">
        <f>Q141+14</f>
        <v>45930</v>
      </c>
      <c r="S141" s="92" t="s">
        <v>260</v>
      </c>
      <c r="T141" s="92"/>
      <c r="U141" s="98"/>
      <c r="V141" s="98"/>
      <c r="W141" s="68" t="s">
        <v>675</v>
      </c>
      <c r="X141" s="64"/>
      <c r="AH141" s="73"/>
    </row>
    <row r="142" spans="1:34" s="69" customFormat="1" ht="18.95">
      <c r="A142" s="68" t="s">
        <v>676</v>
      </c>
      <c r="B142" s="64" t="s">
        <v>144</v>
      </c>
      <c r="C142" s="65">
        <v>6</v>
      </c>
      <c r="D142" s="65"/>
      <c r="E142" s="65"/>
      <c r="F142" s="65" t="s">
        <v>347</v>
      </c>
      <c r="G142" s="64" t="s">
        <v>677</v>
      </c>
      <c r="H142" s="65" t="s">
        <v>678</v>
      </c>
      <c r="I142" s="66"/>
      <c r="J142" s="64" t="s">
        <v>32</v>
      </c>
      <c r="K142" s="64" t="s">
        <v>33</v>
      </c>
      <c r="L142" s="64" t="s">
        <v>100</v>
      </c>
      <c r="M142" s="64"/>
      <c r="N142" s="64"/>
      <c r="O142" s="64"/>
      <c r="P142" s="64"/>
      <c r="Q142" s="280">
        <v>45923</v>
      </c>
      <c r="R142" s="280">
        <f>Q142+7</f>
        <v>45930</v>
      </c>
      <c r="S142" s="92"/>
      <c r="T142" s="92"/>
      <c r="U142" s="98"/>
      <c r="V142" s="98"/>
      <c r="W142" s="68" t="s">
        <v>679</v>
      </c>
      <c r="X142" s="64"/>
      <c r="AH142" s="73"/>
    </row>
    <row r="143" spans="1:34" s="69" customFormat="1" ht="18.95">
      <c r="A143" s="68" t="s">
        <v>680</v>
      </c>
      <c r="B143" s="64" t="s">
        <v>144</v>
      </c>
      <c r="C143" s="65">
        <v>6</v>
      </c>
      <c r="D143" s="65"/>
      <c r="E143" s="65"/>
      <c r="F143" s="65" t="s">
        <v>347</v>
      </c>
      <c r="G143" s="64" t="s">
        <v>681</v>
      </c>
      <c r="H143" s="65" t="s">
        <v>682</v>
      </c>
      <c r="I143" s="66"/>
      <c r="J143" s="64" t="s">
        <v>32</v>
      </c>
      <c r="K143" s="64" t="s">
        <v>33</v>
      </c>
      <c r="L143" s="64" t="s">
        <v>683</v>
      </c>
      <c r="M143" s="64"/>
      <c r="N143" s="64"/>
      <c r="O143" s="64"/>
      <c r="P143" s="64"/>
      <c r="Q143" s="280">
        <v>45923</v>
      </c>
      <c r="R143" s="280">
        <v>45930</v>
      </c>
      <c r="S143" s="92"/>
      <c r="T143" s="92"/>
      <c r="U143" s="98"/>
      <c r="V143" s="98"/>
      <c r="W143" s="68" t="s">
        <v>679</v>
      </c>
      <c r="X143" s="64"/>
      <c r="AH143" s="73"/>
    </row>
    <row r="144" spans="1:34" s="69" customFormat="1" ht="18.95">
      <c r="A144" s="68" t="s">
        <v>684</v>
      </c>
      <c r="B144" s="64" t="s">
        <v>144</v>
      </c>
      <c r="C144" s="65">
        <v>6</v>
      </c>
      <c r="D144" s="65"/>
      <c r="E144" s="65"/>
      <c r="F144" s="65" t="s">
        <v>347</v>
      </c>
      <c r="G144" s="64" t="s">
        <v>685</v>
      </c>
      <c r="H144" s="65" t="s">
        <v>686</v>
      </c>
      <c r="I144" s="66"/>
      <c r="J144" s="64" t="s">
        <v>32</v>
      </c>
      <c r="K144" s="64" t="s">
        <v>33</v>
      </c>
      <c r="L144" s="64" t="s">
        <v>683</v>
      </c>
      <c r="M144" s="64"/>
      <c r="N144" s="64"/>
      <c r="O144" s="64"/>
      <c r="P144" s="64"/>
      <c r="Q144" s="280">
        <v>45923</v>
      </c>
      <c r="R144" s="280">
        <v>45930</v>
      </c>
      <c r="S144" s="92"/>
      <c r="T144" s="92"/>
      <c r="U144" s="98"/>
      <c r="V144" s="98"/>
      <c r="W144" s="68" t="s">
        <v>679</v>
      </c>
      <c r="X144" s="64"/>
      <c r="AH144" s="73"/>
    </row>
    <row r="145" spans="1:34" s="69" customFormat="1" ht="18.95">
      <c r="A145" s="68" t="s">
        <v>687</v>
      </c>
      <c r="B145" s="64" t="s">
        <v>144</v>
      </c>
      <c r="C145" s="65">
        <v>6</v>
      </c>
      <c r="D145" s="65"/>
      <c r="E145" s="65"/>
      <c r="F145" s="65" t="s">
        <v>347</v>
      </c>
      <c r="G145" s="64" t="s">
        <v>688</v>
      </c>
      <c r="H145" s="65" t="s">
        <v>689</v>
      </c>
      <c r="I145" s="66"/>
      <c r="J145" s="64" t="s">
        <v>32</v>
      </c>
      <c r="K145" s="64" t="s">
        <v>33</v>
      </c>
      <c r="L145" s="64" t="s">
        <v>350</v>
      </c>
      <c r="M145" s="64"/>
      <c r="N145" s="64"/>
      <c r="O145" s="64"/>
      <c r="P145" s="64"/>
      <c r="Q145" s="280">
        <v>45923</v>
      </c>
      <c r="R145" s="280">
        <v>45930</v>
      </c>
      <c r="S145" s="92"/>
      <c r="T145" s="92"/>
      <c r="U145" s="98"/>
      <c r="V145" s="98"/>
      <c r="W145" s="68" t="s">
        <v>679</v>
      </c>
      <c r="X145" s="64"/>
      <c r="AH145" s="73"/>
    </row>
    <row r="146" spans="1:34" s="69" customFormat="1" ht="171">
      <c r="A146" s="68" t="s">
        <v>690</v>
      </c>
      <c r="B146" s="64" t="s">
        <v>429</v>
      </c>
      <c r="C146" s="65">
        <v>6</v>
      </c>
      <c r="D146" s="65" t="s">
        <v>189</v>
      </c>
      <c r="E146" s="65"/>
      <c r="F146" s="65" t="s">
        <v>691</v>
      </c>
      <c r="G146" s="64"/>
      <c r="H146" s="65" t="s">
        <v>692</v>
      </c>
      <c r="I146" s="66"/>
      <c r="J146" s="64" t="s">
        <v>32</v>
      </c>
      <c r="K146" s="64" t="s">
        <v>33</v>
      </c>
      <c r="L146" s="64" t="s">
        <v>364</v>
      </c>
      <c r="M146" s="64"/>
      <c r="N146" s="64"/>
      <c r="O146" s="64"/>
      <c r="P146" s="64"/>
      <c r="Q146" s="280">
        <v>45930</v>
      </c>
      <c r="R146" s="280">
        <f>Q146+7</f>
        <v>45937</v>
      </c>
      <c r="S146" s="92"/>
      <c r="T146" s="92"/>
      <c r="U146" s="98"/>
      <c r="V146" s="98"/>
      <c r="W146" s="68" t="s">
        <v>693</v>
      </c>
      <c r="X146" s="64"/>
      <c r="AH146" s="73"/>
    </row>
    <row r="147" spans="1:34" s="69" customFormat="1" ht="18.95">
      <c r="A147" s="68" t="s">
        <v>694</v>
      </c>
      <c r="B147" s="64" t="s">
        <v>144</v>
      </c>
      <c r="C147" s="65">
        <v>6</v>
      </c>
      <c r="D147" s="65"/>
      <c r="E147" s="65"/>
      <c r="F147" s="65"/>
      <c r="G147" s="64"/>
      <c r="H147" s="66" t="s">
        <v>695</v>
      </c>
      <c r="I147" s="66"/>
      <c r="J147" s="64" t="s">
        <v>32</v>
      </c>
      <c r="K147" s="64" t="s">
        <v>33</v>
      </c>
      <c r="L147" s="64" t="s">
        <v>54</v>
      </c>
      <c r="M147" s="64"/>
      <c r="N147" s="64"/>
      <c r="O147" s="64"/>
      <c r="P147" s="64"/>
      <c r="Q147" s="280">
        <v>45861</v>
      </c>
      <c r="R147" s="280">
        <f>Q147+90</f>
        <v>45951</v>
      </c>
      <c r="S147" s="92" t="s">
        <v>37</v>
      </c>
      <c r="T147" s="92"/>
      <c r="U147" s="98"/>
      <c r="V147" s="98"/>
      <c r="W147" s="68" t="s">
        <v>696</v>
      </c>
      <c r="X147" s="64"/>
      <c r="AH147" s="73"/>
    </row>
    <row r="148" spans="1:34" s="69" customFormat="1" ht="38.1">
      <c r="A148" s="68" t="s">
        <v>697</v>
      </c>
      <c r="B148" s="64" t="s">
        <v>144</v>
      </c>
      <c r="C148" s="65">
        <v>6</v>
      </c>
      <c r="D148" s="65"/>
      <c r="E148" s="65"/>
      <c r="F148" s="65" t="s">
        <v>145</v>
      </c>
      <c r="G148" s="64" t="s">
        <v>698</v>
      </c>
      <c r="H148" s="64" t="s">
        <v>699</v>
      </c>
      <c r="I148" s="64"/>
      <c r="J148" s="64" t="s">
        <v>32</v>
      </c>
      <c r="K148" s="64" t="s">
        <v>33</v>
      </c>
      <c r="L148" s="64"/>
      <c r="M148" s="64"/>
      <c r="N148" s="64"/>
      <c r="O148" s="64"/>
      <c r="P148" s="64"/>
      <c r="Q148" s="280">
        <v>45915</v>
      </c>
      <c r="R148" s="280">
        <f>Q148+45</f>
        <v>45960</v>
      </c>
      <c r="S148" s="92"/>
      <c r="T148" s="92"/>
      <c r="U148" s="98"/>
      <c r="V148" s="98"/>
      <c r="W148" s="68" t="s">
        <v>700</v>
      </c>
      <c r="X148" s="64"/>
      <c r="AH148" s="73"/>
    </row>
    <row r="149" spans="1:34" s="69" customFormat="1" ht="95.1">
      <c r="A149" s="68" t="s">
        <v>701</v>
      </c>
      <c r="B149" s="64" t="s">
        <v>380</v>
      </c>
      <c r="C149" s="65">
        <v>6</v>
      </c>
      <c r="D149" s="65" t="s">
        <v>76</v>
      </c>
      <c r="E149" s="65" t="s">
        <v>42</v>
      </c>
      <c r="F149" s="65" t="s">
        <v>43</v>
      </c>
      <c r="G149" s="64" t="s">
        <v>702</v>
      </c>
      <c r="H149" s="66" t="s">
        <v>703</v>
      </c>
      <c r="I149" s="66"/>
      <c r="J149" s="64" t="s">
        <v>77</v>
      </c>
      <c r="K149" s="64" t="s">
        <v>33</v>
      </c>
      <c r="L149" s="64" t="s">
        <v>704</v>
      </c>
      <c r="M149" s="64"/>
      <c r="N149" s="64"/>
      <c r="O149" s="64"/>
      <c r="P149" s="64"/>
      <c r="Q149" s="280">
        <v>45947</v>
      </c>
      <c r="R149" s="280">
        <f>Q149+14</f>
        <v>45961</v>
      </c>
      <c r="S149" s="92" t="s">
        <v>93</v>
      </c>
      <c r="T149" s="92"/>
      <c r="U149" s="98"/>
      <c r="V149" s="98"/>
      <c r="W149" s="68" t="s">
        <v>705</v>
      </c>
      <c r="X149" s="64"/>
      <c r="AH149" s="73"/>
    </row>
    <row r="150" spans="1:34" s="69" customFormat="1" ht="38.1">
      <c r="A150" s="68" t="s">
        <v>706</v>
      </c>
      <c r="B150" s="64" t="s">
        <v>144</v>
      </c>
      <c r="C150" s="65">
        <v>6</v>
      </c>
      <c r="D150" s="65" t="s">
        <v>707</v>
      </c>
      <c r="E150" s="65"/>
      <c r="F150" s="65" t="s">
        <v>708</v>
      </c>
      <c r="G150" s="64"/>
      <c r="H150" s="71" t="s">
        <v>709</v>
      </c>
      <c r="I150" s="71"/>
      <c r="J150" s="64" t="s">
        <v>32</v>
      </c>
      <c r="K150" s="64" t="s">
        <v>710</v>
      </c>
      <c r="L150" s="64" t="s">
        <v>711</v>
      </c>
      <c r="M150" s="64"/>
      <c r="N150" s="64"/>
      <c r="O150" s="72"/>
      <c r="P150" s="72"/>
      <c r="Q150" s="280">
        <v>45936</v>
      </c>
      <c r="R150" s="280">
        <v>45974</v>
      </c>
      <c r="S150" s="92"/>
      <c r="T150" s="92"/>
      <c r="U150" s="98"/>
      <c r="V150" s="98"/>
      <c r="W150" s="68" t="s">
        <v>712</v>
      </c>
      <c r="X150" s="64"/>
      <c r="AH150" s="73"/>
    </row>
    <row r="151" spans="1:34" s="69" customFormat="1" ht="18.95">
      <c r="A151" s="68" t="s">
        <v>713</v>
      </c>
      <c r="B151" s="64" t="s">
        <v>144</v>
      </c>
      <c r="C151" s="65">
        <v>6</v>
      </c>
      <c r="D151" s="65"/>
      <c r="E151" s="65"/>
      <c r="F151" s="65" t="s">
        <v>253</v>
      </c>
      <c r="G151" s="64" t="s">
        <v>714</v>
      </c>
      <c r="H151" s="64" t="s">
        <v>485</v>
      </c>
      <c r="I151" s="64">
        <v>661</v>
      </c>
      <c r="J151" s="64" t="s">
        <v>32</v>
      </c>
      <c r="K151" s="64" t="s">
        <v>394</v>
      </c>
      <c r="L151" s="64" t="s">
        <v>46</v>
      </c>
      <c r="M151" s="64"/>
      <c r="N151" s="64"/>
      <c r="O151" s="64"/>
      <c r="P151" s="64"/>
      <c r="Q151" s="280">
        <v>45915</v>
      </c>
      <c r="R151" s="280">
        <f>Q151+60</f>
        <v>45975</v>
      </c>
      <c r="S151" s="308" t="s">
        <v>37</v>
      </c>
      <c r="T151" s="308"/>
      <c r="U151" s="98"/>
      <c r="V151" s="98"/>
      <c r="W151" s="68" t="s">
        <v>715</v>
      </c>
      <c r="X151" s="64"/>
    </row>
    <row r="152" spans="1:34" s="69" customFormat="1" ht="33.950000000000003">
      <c r="A152" s="251" t="s">
        <v>716</v>
      </c>
      <c r="B152" s="64" t="s">
        <v>144</v>
      </c>
      <c r="C152" s="65">
        <v>6</v>
      </c>
      <c r="D152" s="65"/>
      <c r="E152" s="65"/>
      <c r="F152" s="65" t="s">
        <v>243</v>
      </c>
      <c r="G152" s="64" t="s">
        <v>717</v>
      </c>
      <c r="H152" s="64" t="s">
        <v>718</v>
      </c>
      <c r="I152" s="97"/>
      <c r="J152" s="64" t="s">
        <v>32</v>
      </c>
      <c r="K152" s="64" t="s">
        <v>594</v>
      </c>
      <c r="L152" s="64" t="s">
        <v>111</v>
      </c>
      <c r="M152" s="64"/>
      <c r="N152" s="64"/>
      <c r="O152" s="64"/>
      <c r="P152" s="64"/>
      <c r="Q152" s="280">
        <v>45947</v>
      </c>
      <c r="R152" s="280">
        <f>Q152+30</f>
        <v>45977</v>
      </c>
      <c r="S152" s="308" t="s">
        <v>37</v>
      </c>
      <c r="T152" s="308"/>
      <c r="U152" s="284"/>
      <c r="V152" s="284"/>
      <c r="W152" s="166" t="s">
        <v>719</v>
      </c>
      <c r="X152" s="64"/>
      <c r="AH152" s="73"/>
    </row>
    <row r="153" spans="1:34" s="69" customFormat="1" ht="323.10000000000002">
      <c r="A153" s="68" t="s">
        <v>720</v>
      </c>
      <c r="B153" s="64" t="s">
        <v>199</v>
      </c>
      <c r="C153" s="65">
        <v>6</v>
      </c>
      <c r="D153" s="65"/>
      <c r="E153" s="65"/>
      <c r="F153" s="65"/>
      <c r="G153" s="64" t="s">
        <v>721</v>
      </c>
      <c r="H153" s="64" t="s">
        <v>722</v>
      </c>
      <c r="I153" s="64"/>
      <c r="J153" s="64" t="s">
        <v>32</v>
      </c>
      <c r="K153" s="64" t="s">
        <v>33</v>
      </c>
      <c r="L153" s="64" t="s">
        <v>71</v>
      </c>
      <c r="M153" s="64" t="s">
        <v>723</v>
      </c>
      <c r="N153" s="64" t="s">
        <v>64</v>
      </c>
      <c r="O153" s="64"/>
      <c r="P153" s="64"/>
      <c r="Q153" s="280">
        <v>45992</v>
      </c>
      <c r="R153" s="280">
        <f>Q153+120</f>
        <v>46112</v>
      </c>
      <c r="S153" s="92" t="s">
        <v>93</v>
      </c>
      <c r="T153" s="92"/>
      <c r="U153" s="98"/>
      <c r="V153" s="98"/>
      <c r="W153" s="68" t="s">
        <v>724</v>
      </c>
      <c r="X153" s="64"/>
      <c r="AH153" s="73"/>
    </row>
    <row r="154" spans="1:34" s="69" customFormat="1" ht="18.95">
      <c r="A154" s="252"/>
      <c r="B154" s="64" t="s">
        <v>144</v>
      </c>
      <c r="C154" s="65">
        <v>6</v>
      </c>
      <c r="D154" s="65"/>
      <c r="E154" s="65" t="s">
        <v>725</v>
      </c>
      <c r="F154" s="65"/>
      <c r="G154" s="64"/>
      <c r="H154" s="64" t="s">
        <v>726</v>
      </c>
      <c r="I154" s="64"/>
      <c r="J154" s="64"/>
      <c r="K154" s="64" t="s">
        <v>33</v>
      </c>
      <c r="L154" s="64"/>
      <c r="M154" s="64"/>
      <c r="N154" s="64"/>
      <c r="O154" s="64"/>
      <c r="P154" s="64"/>
      <c r="Q154" s="280"/>
      <c r="R154" s="280"/>
      <c r="S154" s="92"/>
      <c r="T154" s="92"/>
      <c r="U154" s="98"/>
      <c r="V154" s="98"/>
      <c r="W154" s="68" t="s">
        <v>727</v>
      </c>
      <c r="X154" s="64"/>
      <c r="AH154" s="73"/>
    </row>
    <row r="155" spans="1:34" s="69" customFormat="1" ht="18.95">
      <c r="A155" s="68" t="s">
        <v>728</v>
      </c>
      <c r="B155" s="64" t="s">
        <v>144</v>
      </c>
      <c r="C155" s="65">
        <v>6</v>
      </c>
      <c r="D155" s="65"/>
      <c r="E155" s="65"/>
      <c r="F155" s="65" t="s">
        <v>448</v>
      </c>
      <c r="G155" s="64" t="s">
        <v>729</v>
      </c>
      <c r="H155" s="64" t="s">
        <v>730</v>
      </c>
      <c r="I155" s="64"/>
      <c r="J155" s="64" t="s">
        <v>32</v>
      </c>
      <c r="K155" s="64" t="s">
        <v>133</v>
      </c>
      <c r="L155" s="64" t="s">
        <v>111</v>
      </c>
      <c r="M155" s="64"/>
      <c r="N155" s="64"/>
      <c r="O155" s="64"/>
      <c r="P155" s="64"/>
      <c r="Q155" s="280">
        <v>45973</v>
      </c>
      <c r="R155" s="280">
        <f>Q155+7</f>
        <v>45980</v>
      </c>
      <c r="S155" s="308"/>
      <c r="T155" s="308"/>
      <c r="U155" s="284"/>
      <c r="V155" s="284"/>
      <c r="W155" s="68" t="s">
        <v>731</v>
      </c>
      <c r="X155" s="64"/>
      <c r="AH155" s="73"/>
    </row>
    <row r="156" spans="1:34" s="69" customFormat="1" ht="18.95">
      <c r="A156" s="252" t="s">
        <v>732</v>
      </c>
      <c r="B156" s="64" t="s">
        <v>104</v>
      </c>
      <c r="C156" s="65">
        <v>5</v>
      </c>
      <c r="D156" s="65"/>
      <c r="E156" s="65"/>
      <c r="F156" s="65" t="s">
        <v>32</v>
      </c>
      <c r="G156" s="64"/>
      <c r="H156" s="64" t="s">
        <v>733</v>
      </c>
      <c r="I156" s="64"/>
      <c r="J156" s="64" t="s">
        <v>32</v>
      </c>
      <c r="K156" s="64" t="s">
        <v>33</v>
      </c>
      <c r="L156" s="64"/>
      <c r="M156" s="64"/>
      <c r="N156" s="64"/>
      <c r="O156" s="64"/>
      <c r="P156" s="64"/>
      <c r="Q156" s="280">
        <v>45707</v>
      </c>
      <c r="R156" s="280">
        <f>Q156+60</f>
        <v>45767</v>
      </c>
      <c r="S156" s="308" t="s">
        <v>260</v>
      </c>
      <c r="T156" s="308"/>
      <c r="U156" s="98"/>
      <c r="V156" s="98"/>
      <c r="W156" s="68" t="s">
        <v>734</v>
      </c>
      <c r="X156" s="64"/>
      <c r="AH156" s="73"/>
    </row>
    <row r="157" spans="1:34" s="69" customFormat="1" ht="114">
      <c r="A157" s="68" t="s">
        <v>735</v>
      </c>
      <c r="B157" s="64" t="s">
        <v>268</v>
      </c>
      <c r="C157" s="65">
        <v>5</v>
      </c>
      <c r="D157" s="65"/>
      <c r="E157" s="65"/>
      <c r="F157" s="65" t="s">
        <v>32</v>
      </c>
      <c r="G157" s="64" t="s">
        <v>736</v>
      </c>
      <c r="H157" s="64" t="s">
        <v>737</v>
      </c>
      <c r="I157" s="64"/>
      <c r="J157" s="64" t="s">
        <v>32</v>
      </c>
      <c r="K157" s="64" t="s">
        <v>33</v>
      </c>
      <c r="L157" s="64" t="s">
        <v>34</v>
      </c>
      <c r="M157" s="64" t="s">
        <v>134</v>
      </c>
      <c r="N157" s="64" t="s">
        <v>64</v>
      </c>
      <c r="O157" s="64"/>
      <c r="P157" s="64"/>
      <c r="Q157" s="280">
        <v>45716</v>
      </c>
      <c r="R157" s="280">
        <f>Q157+60</f>
        <v>45776</v>
      </c>
      <c r="S157" s="308" t="s">
        <v>260</v>
      </c>
      <c r="T157" s="308"/>
      <c r="U157" s="98"/>
      <c r="V157" s="98"/>
      <c r="W157" s="68" t="s">
        <v>738</v>
      </c>
      <c r="X157" s="64"/>
      <c r="AH157" s="73"/>
    </row>
    <row r="158" spans="1:34" s="69" customFormat="1" ht="18.95">
      <c r="A158" s="68" t="s">
        <v>739</v>
      </c>
      <c r="B158" s="64" t="s">
        <v>144</v>
      </c>
      <c r="C158" s="65">
        <v>5</v>
      </c>
      <c r="D158" s="65" t="s">
        <v>740</v>
      </c>
      <c r="E158" s="65" t="s">
        <v>42</v>
      </c>
      <c r="F158" s="65" t="s">
        <v>43</v>
      </c>
      <c r="G158" s="64" t="s">
        <v>59</v>
      </c>
      <c r="H158" s="66" t="s">
        <v>741</v>
      </c>
      <c r="I158" s="66"/>
      <c r="J158" s="64" t="s">
        <v>32</v>
      </c>
      <c r="K158" s="64" t="s">
        <v>33</v>
      </c>
      <c r="L158" s="64" t="s">
        <v>46</v>
      </c>
      <c r="M158" s="64"/>
      <c r="N158" s="64"/>
      <c r="O158" s="64"/>
      <c r="P158" s="64"/>
      <c r="Q158" s="280">
        <v>45792</v>
      </c>
      <c r="R158" s="280">
        <f>Q158+14</f>
        <v>45806</v>
      </c>
      <c r="S158" s="92" t="s">
        <v>260</v>
      </c>
      <c r="T158" s="92"/>
      <c r="U158" s="98"/>
      <c r="V158" s="98"/>
      <c r="W158" s="68" t="s">
        <v>742</v>
      </c>
      <c r="X158" s="64"/>
      <c r="AH158" s="73"/>
    </row>
    <row r="159" spans="1:34" s="69" customFormat="1" ht="18.95">
      <c r="A159" s="68" t="s">
        <v>743</v>
      </c>
      <c r="B159" s="64" t="s">
        <v>144</v>
      </c>
      <c r="C159" s="65">
        <v>5</v>
      </c>
      <c r="D159" s="65"/>
      <c r="E159" s="65"/>
      <c r="F159" s="65"/>
      <c r="G159" s="64" t="s">
        <v>744</v>
      </c>
      <c r="H159" s="64" t="s">
        <v>745</v>
      </c>
      <c r="I159" s="64"/>
      <c r="J159" s="64" t="s">
        <v>32</v>
      </c>
      <c r="K159" s="64" t="s">
        <v>315</v>
      </c>
      <c r="L159" s="64" t="s">
        <v>34</v>
      </c>
      <c r="M159" s="64" t="s">
        <v>134</v>
      </c>
      <c r="N159" s="64" t="s">
        <v>64</v>
      </c>
      <c r="O159" s="64"/>
      <c r="P159" s="64"/>
      <c r="Q159" s="280">
        <v>45350</v>
      </c>
      <c r="R159" s="280">
        <f t="shared" ref="R159:R167" si="0">Q159+10</f>
        <v>45360</v>
      </c>
      <c r="S159" s="92"/>
      <c r="T159" s="92"/>
      <c r="U159" s="98"/>
      <c r="V159" s="98"/>
      <c r="W159" s="68"/>
      <c r="X159" s="64"/>
      <c r="AH159" s="73"/>
    </row>
    <row r="160" spans="1:34" s="69" customFormat="1" ht="18.95">
      <c r="A160" s="68" t="s">
        <v>746</v>
      </c>
      <c r="B160" s="64" t="s">
        <v>144</v>
      </c>
      <c r="C160" s="65">
        <v>5</v>
      </c>
      <c r="D160" s="65"/>
      <c r="E160" s="65"/>
      <c r="F160" s="65"/>
      <c r="G160" s="64" t="s">
        <v>550</v>
      </c>
      <c r="H160" s="64" t="s">
        <v>747</v>
      </c>
      <c r="I160" s="64"/>
      <c r="J160" s="64" t="s">
        <v>32</v>
      </c>
      <c r="K160" s="64" t="s">
        <v>33</v>
      </c>
      <c r="L160" s="64" t="s">
        <v>71</v>
      </c>
      <c r="M160" s="64" t="s">
        <v>134</v>
      </c>
      <c r="N160" s="64" t="s">
        <v>64</v>
      </c>
      <c r="O160" s="64"/>
      <c r="P160" s="64"/>
      <c r="Q160" s="280">
        <v>45350</v>
      </c>
      <c r="R160" s="280">
        <f t="shared" si="0"/>
        <v>45360</v>
      </c>
      <c r="S160" s="92"/>
      <c r="T160" s="92"/>
      <c r="U160" s="98"/>
      <c r="V160" s="98"/>
      <c r="W160" s="68"/>
      <c r="X160" s="64"/>
      <c r="AH160" s="73"/>
    </row>
    <row r="161" spans="1:34" s="69" customFormat="1" ht="21">
      <c r="A161" s="68" t="s">
        <v>748</v>
      </c>
      <c r="B161" s="64" t="s">
        <v>144</v>
      </c>
      <c r="C161" s="65">
        <v>5</v>
      </c>
      <c r="D161" s="65"/>
      <c r="E161" s="65"/>
      <c r="F161" s="65"/>
      <c r="G161" s="64" t="s">
        <v>90</v>
      </c>
      <c r="H161" s="64" t="s">
        <v>749</v>
      </c>
      <c r="I161" s="64"/>
      <c r="J161" s="64" t="s">
        <v>32</v>
      </c>
      <c r="K161" s="64" t="s">
        <v>311</v>
      </c>
      <c r="L161" s="64" t="s">
        <v>71</v>
      </c>
      <c r="M161" s="84" t="s">
        <v>750</v>
      </c>
      <c r="N161" s="64" t="s">
        <v>64</v>
      </c>
      <c r="O161" s="64"/>
      <c r="P161" s="64"/>
      <c r="Q161" s="280">
        <v>45350</v>
      </c>
      <c r="R161" s="280">
        <f t="shared" si="0"/>
        <v>45360</v>
      </c>
      <c r="S161" s="92"/>
      <c r="T161" s="92"/>
      <c r="U161" s="98"/>
      <c r="V161" s="98"/>
      <c r="W161" s="68"/>
      <c r="X161" s="64"/>
      <c r="AH161" s="73"/>
    </row>
    <row r="162" spans="1:34" s="69" customFormat="1" ht="18.95">
      <c r="A162" s="68" t="s">
        <v>751</v>
      </c>
      <c r="B162" s="64" t="s">
        <v>144</v>
      </c>
      <c r="C162" s="65">
        <v>5</v>
      </c>
      <c r="D162" s="65"/>
      <c r="E162" s="65"/>
      <c r="F162" s="65"/>
      <c r="G162" s="64" t="s">
        <v>488</v>
      </c>
      <c r="H162" s="64" t="s">
        <v>752</v>
      </c>
      <c r="I162" s="64"/>
      <c r="J162" s="64" t="s">
        <v>32</v>
      </c>
      <c r="K162" s="64" t="s">
        <v>33</v>
      </c>
      <c r="L162" s="64" t="s">
        <v>34</v>
      </c>
      <c r="M162" s="64" t="s">
        <v>753</v>
      </c>
      <c r="N162" s="64" t="s">
        <v>64</v>
      </c>
      <c r="O162" s="64"/>
      <c r="P162" s="64"/>
      <c r="Q162" s="280">
        <v>45364</v>
      </c>
      <c r="R162" s="280">
        <f t="shared" si="0"/>
        <v>45374</v>
      </c>
      <c r="S162" s="92"/>
      <c r="T162" s="92"/>
      <c r="U162" s="98"/>
      <c r="V162" s="98"/>
      <c r="W162" s="68"/>
      <c r="X162" s="64"/>
      <c r="AH162" s="73"/>
    </row>
    <row r="163" spans="1:34" s="69" customFormat="1" ht="18.95">
      <c r="A163" s="68" t="s">
        <v>754</v>
      </c>
      <c r="B163" s="64" t="s">
        <v>144</v>
      </c>
      <c r="C163" s="65">
        <v>5</v>
      </c>
      <c r="D163" s="65"/>
      <c r="E163" s="65"/>
      <c r="F163" s="65"/>
      <c r="G163" s="64" t="s">
        <v>550</v>
      </c>
      <c r="H163" s="64" t="s">
        <v>755</v>
      </c>
      <c r="I163" s="64"/>
      <c r="J163" s="64" t="s">
        <v>32</v>
      </c>
      <c r="K163" s="64" t="s">
        <v>756</v>
      </c>
      <c r="L163" s="64" t="s">
        <v>34</v>
      </c>
      <c r="M163" s="64" t="s">
        <v>121</v>
      </c>
      <c r="N163" s="64" t="s">
        <v>64</v>
      </c>
      <c r="O163" s="64"/>
      <c r="P163" s="64"/>
      <c r="Q163" s="280">
        <v>45364</v>
      </c>
      <c r="R163" s="280">
        <f t="shared" si="0"/>
        <v>45374</v>
      </c>
      <c r="S163" s="92"/>
      <c r="T163" s="92"/>
      <c r="U163" s="98"/>
      <c r="V163" s="98"/>
      <c r="W163" s="68" t="s">
        <v>757</v>
      </c>
      <c r="X163" s="64"/>
      <c r="AH163" s="73"/>
    </row>
    <row r="164" spans="1:34" s="69" customFormat="1" ht="18.95">
      <c r="A164" s="68" t="s">
        <v>758</v>
      </c>
      <c r="B164" s="64" t="s">
        <v>144</v>
      </c>
      <c r="C164" s="65">
        <v>5</v>
      </c>
      <c r="D164" s="65"/>
      <c r="E164" s="65"/>
      <c r="F164" s="65"/>
      <c r="G164" s="64" t="s">
        <v>759</v>
      </c>
      <c r="H164" s="64" t="s">
        <v>760</v>
      </c>
      <c r="I164" s="64"/>
      <c r="J164" s="64" t="s">
        <v>32</v>
      </c>
      <c r="K164" s="64" t="s">
        <v>33</v>
      </c>
      <c r="L164" s="64" t="s">
        <v>34</v>
      </c>
      <c r="M164" s="64" t="s">
        <v>112</v>
      </c>
      <c r="N164" s="64" t="s">
        <v>64</v>
      </c>
      <c r="O164" s="64"/>
      <c r="P164" s="64"/>
      <c r="Q164" s="280">
        <v>45364</v>
      </c>
      <c r="R164" s="280">
        <f t="shared" si="0"/>
        <v>45374</v>
      </c>
      <c r="S164" s="92"/>
      <c r="T164" s="92"/>
      <c r="U164" s="98"/>
      <c r="V164" s="98"/>
      <c r="W164" s="68" t="s">
        <v>761</v>
      </c>
      <c r="X164" s="64"/>
      <c r="AH164" s="73"/>
    </row>
    <row r="165" spans="1:34" s="69" customFormat="1" ht="18.95">
      <c r="A165" s="68" t="s">
        <v>762</v>
      </c>
      <c r="B165" s="64" t="s">
        <v>144</v>
      </c>
      <c r="C165" s="65">
        <v>5</v>
      </c>
      <c r="D165" s="65"/>
      <c r="E165" s="65"/>
      <c r="F165" s="65"/>
      <c r="G165" s="64" t="s">
        <v>763</v>
      </c>
      <c r="H165" s="64" t="s">
        <v>764</v>
      </c>
      <c r="I165" s="64"/>
      <c r="J165" s="64" t="s">
        <v>32</v>
      </c>
      <c r="K165" s="64" t="s">
        <v>33</v>
      </c>
      <c r="L165" s="64" t="s">
        <v>765</v>
      </c>
      <c r="M165" s="64" t="s">
        <v>121</v>
      </c>
      <c r="N165" s="64" t="s">
        <v>64</v>
      </c>
      <c r="O165" s="64"/>
      <c r="P165" s="64"/>
      <c r="Q165" s="280">
        <v>45364</v>
      </c>
      <c r="R165" s="280">
        <f t="shared" si="0"/>
        <v>45374</v>
      </c>
      <c r="S165" s="92"/>
      <c r="T165" s="92"/>
      <c r="U165" s="98"/>
      <c r="V165" s="98"/>
      <c r="W165" s="68"/>
      <c r="X165" s="64"/>
      <c r="AH165" s="73"/>
    </row>
    <row r="166" spans="1:34" s="69" customFormat="1" ht="18.95">
      <c r="A166" s="68" t="s">
        <v>766</v>
      </c>
      <c r="B166" s="64" t="s">
        <v>144</v>
      </c>
      <c r="C166" s="65">
        <v>5</v>
      </c>
      <c r="D166" s="65"/>
      <c r="E166" s="65"/>
      <c r="F166" s="65"/>
      <c r="G166" s="64" t="s">
        <v>767</v>
      </c>
      <c r="H166" s="64" t="s">
        <v>764</v>
      </c>
      <c r="I166" s="64"/>
      <c r="J166" s="64" t="s">
        <v>32</v>
      </c>
      <c r="K166" s="64" t="s">
        <v>33</v>
      </c>
      <c r="L166" s="64" t="s">
        <v>765</v>
      </c>
      <c r="M166" s="64" t="s">
        <v>121</v>
      </c>
      <c r="N166" s="64" t="s">
        <v>64</v>
      </c>
      <c r="O166" s="64"/>
      <c r="P166" s="64"/>
      <c r="Q166" s="280">
        <v>45364</v>
      </c>
      <c r="R166" s="280">
        <f t="shared" si="0"/>
        <v>45374</v>
      </c>
      <c r="S166" s="92"/>
      <c r="T166" s="92"/>
      <c r="U166" s="98"/>
      <c r="V166" s="98"/>
      <c r="W166" s="68"/>
      <c r="X166" s="64"/>
      <c r="AH166" s="73"/>
    </row>
    <row r="167" spans="1:34" s="69" customFormat="1" ht="18.95">
      <c r="A167" s="68" t="s">
        <v>768</v>
      </c>
      <c r="B167" s="64" t="s">
        <v>144</v>
      </c>
      <c r="C167" s="65">
        <v>5</v>
      </c>
      <c r="D167" s="65"/>
      <c r="E167" s="65"/>
      <c r="F167" s="65"/>
      <c r="G167" s="64" t="s">
        <v>769</v>
      </c>
      <c r="H167" s="64" t="s">
        <v>770</v>
      </c>
      <c r="I167" s="64"/>
      <c r="J167" s="64" t="s">
        <v>32</v>
      </c>
      <c r="K167" s="64" t="s">
        <v>594</v>
      </c>
      <c r="L167" s="64" t="s">
        <v>34</v>
      </c>
      <c r="M167" s="64" t="s">
        <v>121</v>
      </c>
      <c r="N167" s="64" t="s">
        <v>64</v>
      </c>
      <c r="O167" s="64"/>
      <c r="P167" s="64"/>
      <c r="Q167" s="280">
        <v>45371</v>
      </c>
      <c r="R167" s="280">
        <f t="shared" si="0"/>
        <v>45381</v>
      </c>
      <c r="S167" s="92"/>
      <c r="T167" s="92"/>
      <c r="U167" s="98"/>
      <c r="V167" s="98"/>
      <c r="W167" s="68" t="s">
        <v>771</v>
      </c>
      <c r="X167" s="79"/>
      <c r="AH167" s="73"/>
    </row>
    <row r="168" spans="1:34" s="69" customFormat="1" ht="18.95">
      <c r="A168" s="83" t="s">
        <v>772</v>
      </c>
      <c r="B168" s="64" t="s">
        <v>144</v>
      </c>
      <c r="C168" s="65">
        <v>5</v>
      </c>
      <c r="D168" s="65"/>
      <c r="E168" s="65"/>
      <c r="F168" s="65"/>
      <c r="G168" s="79" t="s">
        <v>488</v>
      </c>
      <c r="H168" s="79" t="s">
        <v>773</v>
      </c>
      <c r="I168" s="79"/>
      <c r="J168" s="79" t="s">
        <v>32</v>
      </c>
      <c r="K168" s="79" t="s">
        <v>33</v>
      </c>
      <c r="L168" s="79" t="s">
        <v>481</v>
      </c>
      <c r="M168" s="79" t="s">
        <v>430</v>
      </c>
      <c r="N168" s="79" t="s">
        <v>64</v>
      </c>
      <c r="O168" s="79"/>
      <c r="P168" s="79"/>
      <c r="Q168" s="280">
        <v>45406</v>
      </c>
      <c r="R168" s="280">
        <f>Q168+7</f>
        <v>45413</v>
      </c>
      <c r="S168" s="307"/>
      <c r="T168" s="307"/>
      <c r="U168" s="285"/>
      <c r="V168" s="285"/>
      <c r="W168" s="83"/>
      <c r="X168" s="64"/>
      <c r="AH168" s="73"/>
    </row>
    <row r="169" spans="1:34" s="69" customFormat="1" ht="18.95">
      <c r="A169" s="83" t="s">
        <v>774</v>
      </c>
      <c r="B169" s="64" t="s">
        <v>144</v>
      </c>
      <c r="C169" s="65">
        <v>5</v>
      </c>
      <c r="D169" s="65"/>
      <c r="E169" s="65"/>
      <c r="F169" s="65"/>
      <c r="G169" s="79" t="s">
        <v>775</v>
      </c>
      <c r="H169" s="79" t="s">
        <v>776</v>
      </c>
      <c r="I169" s="79"/>
      <c r="J169" s="79" t="s">
        <v>32</v>
      </c>
      <c r="K169" s="79" t="s">
        <v>33</v>
      </c>
      <c r="L169" s="79" t="s">
        <v>186</v>
      </c>
      <c r="M169" s="79" t="s">
        <v>445</v>
      </c>
      <c r="N169" s="79"/>
      <c r="O169" s="79"/>
      <c r="P169" s="79"/>
      <c r="Q169" s="280">
        <v>45411</v>
      </c>
      <c r="R169" s="280">
        <f>Q169+7</f>
        <v>45418</v>
      </c>
      <c r="S169" s="307"/>
      <c r="T169" s="307"/>
      <c r="U169" s="285"/>
      <c r="V169" s="285"/>
      <c r="W169" s="83" t="s">
        <v>777</v>
      </c>
      <c r="X169" s="79"/>
      <c r="AH169" s="73"/>
    </row>
    <row r="170" spans="1:34" s="69" customFormat="1" ht="18.95">
      <c r="A170" s="83" t="s">
        <v>778</v>
      </c>
      <c r="B170" s="64" t="s">
        <v>144</v>
      </c>
      <c r="C170" s="65">
        <v>5</v>
      </c>
      <c r="D170" s="65"/>
      <c r="E170" s="65"/>
      <c r="F170" s="65"/>
      <c r="G170" s="79" t="s">
        <v>454</v>
      </c>
      <c r="H170" s="79" t="s">
        <v>779</v>
      </c>
      <c r="I170" s="79"/>
      <c r="J170" s="79" t="s">
        <v>32</v>
      </c>
      <c r="K170" s="79" t="s">
        <v>33</v>
      </c>
      <c r="L170" s="79" t="s">
        <v>111</v>
      </c>
      <c r="M170" s="79" t="s">
        <v>780</v>
      </c>
      <c r="N170" s="79" t="s">
        <v>64</v>
      </c>
      <c r="O170" s="79"/>
      <c r="P170" s="79"/>
      <c r="Q170" s="280">
        <v>45411</v>
      </c>
      <c r="R170" s="280">
        <v>45418</v>
      </c>
      <c r="S170" s="80"/>
      <c r="T170" s="80"/>
      <c r="U170" s="288"/>
      <c r="V170" s="288"/>
      <c r="W170" s="83"/>
      <c r="X170" s="64"/>
      <c r="AH170" s="73"/>
    </row>
    <row r="171" spans="1:34" s="69" customFormat="1" ht="18.95">
      <c r="A171" s="68" t="s">
        <v>781</v>
      </c>
      <c r="B171" s="64" t="s">
        <v>144</v>
      </c>
      <c r="C171" s="65">
        <v>5</v>
      </c>
      <c r="D171" s="65"/>
      <c r="E171" s="65"/>
      <c r="F171" s="65"/>
      <c r="G171" s="64" t="s">
        <v>454</v>
      </c>
      <c r="H171" s="64" t="s">
        <v>782</v>
      </c>
      <c r="I171" s="64"/>
      <c r="J171" s="64" t="s">
        <v>32</v>
      </c>
      <c r="K171" s="64" t="s">
        <v>33</v>
      </c>
      <c r="L171" s="64" t="s">
        <v>34</v>
      </c>
      <c r="M171" s="64" t="s">
        <v>275</v>
      </c>
      <c r="N171" s="64" t="s">
        <v>64</v>
      </c>
      <c r="O171" s="64"/>
      <c r="P171" s="64"/>
      <c r="Q171" s="280">
        <v>45411</v>
      </c>
      <c r="R171" s="280">
        <f>Q171+7</f>
        <v>45418</v>
      </c>
      <c r="S171" s="67"/>
      <c r="T171" s="67"/>
      <c r="U171" s="98"/>
      <c r="V171" s="98"/>
      <c r="W171" s="68"/>
      <c r="X171" s="64"/>
      <c r="AH171" s="73"/>
    </row>
    <row r="172" spans="1:34" s="69" customFormat="1" ht="18.95">
      <c r="A172" s="83" t="s">
        <v>783</v>
      </c>
      <c r="B172" s="64" t="s">
        <v>144</v>
      </c>
      <c r="C172" s="65">
        <v>5</v>
      </c>
      <c r="D172" s="65"/>
      <c r="E172" s="65"/>
      <c r="F172" s="65"/>
      <c r="G172" s="79" t="s">
        <v>784</v>
      </c>
      <c r="H172" s="79" t="s">
        <v>785</v>
      </c>
      <c r="I172" s="79"/>
      <c r="J172" s="79" t="s">
        <v>32</v>
      </c>
      <c r="K172" s="79" t="s">
        <v>33</v>
      </c>
      <c r="L172" s="79" t="s">
        <v>786</v>
      </c>
      <c r="M172" s="79" t="s">
        <v>121</v>
      </c>
      <c r="N172" s="79"/>
      <c r="O172" s="79"/>
      <c r="P172" s="79"/>
      <c r="Q172" s="280">
        <v>45415</v>
      </c>
      <c r="R172" s="280">
        <f>Q172+5</f>
        <v>45420</v>
      </c>
      <c r="S172" s="82"/>
      <c r="T172" s="82"/>
      <c r="U172" s="285"/>
      <c r="V172" s="285"/>
      <c r="W172" s="83" t="s">
        <v>787</v>
      </c>
      <c r="X172" s="64"/>
      <c r="AH172" s="73"/>
    </row>
    <row r="173" spans="1:34" s="69" customFormat="1" ht="18.95">
      <c r="A173" s="83" t="s">
        <v>788</v>
      </c>
      <c r="B173" s="64" t="s">
        <v>144</v>
      </c>
      <c r="C173" s="65">
        <v>5</v>
      </c>
      <c r="D173" s="65"/>
      <c r="E173" s="65"/>
      <c r="F173" s="65"/>
      <c r="G173" s="79" t="s">
        <v>789</v>
      </c>
      <c r="H173" s="79" t="s">
        <v>790</v>
      </c>
      <c r="I173" s="79"/>
      <c r="J173" s="79" t="s">
        <v>32</v>
      </c>
      <c r="K173" s="79" t="s">
        <v>33</v>
      </c>
      <c r="L173" s="79" t="s">
        <v>46</v>
      </c>
      <c r="M173" s="79" t="s">
        <v>791</v>
      </c>
      <c r="N173" s="79" t="s">
        <v>64</v>
      </c>
      <c r="O173" s="79"/>
      <c r="P173" s="79"/>
      <c r="Q173" s="280">
        <v>45427</v>
      </c>
      <c r="R173" s="280">
        <f>Q173+7</f>
        <v>45434</v>
      </c>
      <c r="S173" s="82"/>
      <c r="T173" s="82"/>
      <c r="U173" s="285"/>
      <c r="V173" s="285"/>
      <c r="W173" s="83" t="s">
        <v>792</v>
      </c>
      <c r="X173" s="79"/>
    </row>
    <row r="174" spans="1:34" s="69" customFormat="1" ht="57">
      <c r="A174" s="83" t="s">
        <v>793</v>
      </c>
      <c r="B174" s="64" t="s">
        <v>144</v>
      </c>
      <c r="C174" s="65">
        <v>5</v>
      </c>
      <c r="D174" s="65"/>
      <c r="E174" s="65"/>
      <c r="F174" s="65"/>
      <c r="G174" s="79" t="s">
        <v>183</v>
      </c>
      <c r="H174" s="79" t="s">
        <v>794</v>
      </c>
      <c r="I174" s="79"/>
      <c r="J174" s="79" t="s">
        <v>32</v>
      </c>
      <c r="K174" s="79" t="s">
        <v>33</v>
      </c>
      <c r="L174" s="79" t="s">
        <v>80</v>
      </c>
      <c r="M174" s="79" t="s">
        <v>275</v>
      </c>
      <c r="N174" s="79" t="s">
        <v>64</v>
      </c>
      <c r="O174" s="79"/>
      <c r="P174" s="79"/>
      <c r="Q174" s="280">
        <v>45432</v>
      </c>
      <c r="R174" s="280">
        <f>Q174+7</f>
        <v>45439</v>
      </c>
      <c r="S174" s="82"/>
      <c r="T174" s="82"/>
      <c r="U174" s="285"/>
      <c r="V174" s="285"/>
      <c r="W174" s="83" t="s">
        <v>795</v>
      </c>
      <c r="X174" s="79"/>
    </row>
    <row r="175" spans="1:34" s="69" customFormat="1" ht="171">
      <c r="A175" s="68" t="s">
        <v>796</v>
      </c>
      <c r="B175" s="64" t="s">
        <v>144</v>
      </c>
      <c r="C175" s="65">
        <v>5</v>
      </c>
      <c r="D175" s="65"/>
      <c r="E175" s="65"/>
      <c r="F175" s="65"/>
      <c r="G175" s="64" t="s">
        <v>797</v>
      </c>
      <c r="H175" s="64" t="s">
        <v>798</v>
      </c>
      <c r="I175" s="64"/>
      <c r="J175" s="64" t="s">
        <v>32</v>
      </c>
      <c r="K175" s="64" t="s">
        <v>33</v>
      </c>
      <c r="L175" s="64" t="s">
        <v>71</v>
      </c>
      <c r="M175" s="64" t="s">
        <v>799</v>
      </c>
      <c r="N175" s="64" t="s">
        <v>36</v>
      </c>
      <c r="O175" s="64"/>
      <c r="P175" s="64"/>
      <c r="Q175" s="280">
        <v>45440</v>
      </c>
      <c r="R175" s="280">
        <f>Q175+10</f>
        <v>45450</v>
      </c>
      <c r="S175" s="67"/>
      <c r="T175" s="67"/>
      <c r="U175" s="98"/>
      <c r="V175" s="98"/>
      <c r="W175" s="68" t="s">
        <v>800</v>
      </c>
      <c r="X175" s="64"/>
    </row>
    <row r="176" spans="1:34" s="69" customFormat="1" ht="18.95">
      <c r="A176" s="68" t="s">
        <v>801</v>
      </c>
      <c r="B176" s="64" t="s">
        <v>104</v>
      </c>
      <c r="C176" s="65">
        <v>5</v>
      </c>
      <c r="D176" s="65"/>
      <c r="E176" s="65"/>
      <c r="F176" s="65"/>
      <c r="G176" s="64" t="s">
        <v>802</v>
      </c>
      <c r="H176" s="64" t="s">
        <v>803</v>
      </c>
      <c r="I176" s="64"/>
      <c r="J176" s="64" t="s">
        <v>32</v>
      </c>
      <c r="K176" s="64" t="s">
        <v>33</v>
      </c>
      <c r="L176" s="64" t="s">
        <v>34</v>
      </c>
      <c r="M176" s="64" t="s">
        <v>112</v>
      </c>
      <c r="N176" s="64" t="s">
        <v>64</v>
      </c>
      <c r="O176" s="64"/>
      <c r="P176" s="64"/>
      <c r="Q176" s="280">
        <v>45447</v>
      </c>
      <c r="R176" s="280">
        <f>Q176+10</f>
        <v>45457</v>
      </c>
      <c r="S176" s="67"/>
      <c r="T176" s="67"/>
      <c r="U176" s="98"/>
      <c r="V176" s="98"/>
      <c r="W176" s="68" t="s">
        <v>804</v>
      </c>
      <c r="X176" s="64"/>
    </row>
    <row r="177" spans="1:34" s="69" customFormat="1" ht="18.95">
      <c r="A177" s="83" t="s">
        <v>805</v>
      </c>
      <c r="B177" s="64" t="s">
        <v>144</v>
      </c>
      <c r="C177" s="65">
        <v>5</v>
      </c>
      <c r="D177" s="65"/>
      <c r="E177" s="65" t="s">
        <v>806</v>
      </c>
      <c r="F177" s="65"/>
      <c r="G177" s="79" t="s">
        <v>807</v>
      </c>
      <c r="H177" s="79" t="s">
        <v>808</v>
      </c>
      <c r="I177" s="79"/>
      <c r="J177" s="79" t="s">
        <v>32</v>
      </c>
      <c r="K177" s="79" t="s">
        <v>33</v>
      </c>
      <c r="L177" s="79" t="s">
        <v>111</v>
      </c>
      <c r="M177" s="79" t="s">
        <v>445</v>
      </c>
      <c r="N177" s="79" t="s">
        <v>64</v>
      </c>
      <c r="O177" s="79"/>
      <c r="P177" s="79"/>
      <c r="Q177" s="280">
        <v>45447</v>
      </c>
      <c r="R177" s="280">
        <f>Q177+14</f>
        <v>45461</v>
      </c>
      <c r="S177" s="82"/>
      <c r="T177" s="82"/>
      <c r="U177" s="285"/>
      <c r="V177" s="285"/>
      <c r="W177" s="83" t="s">
        <v>809</v>
      </c>
      <c r="X177" s="79"/>
    </row>
    <row r="178" spans="1:34" s="69" customFormat="1" ht="18.95">
      <c r="A178" s="68" t="s">
        <v>810</v>
      </c>
      <c r="B178" s="64" t="s">
        <v>199</v>
      </c>
      <c r="C178" s="65">
        <v>5</v>
      </c>
      <c r="D178" s="65"/>
      <c r="E178" s="65"/>
      <c r="F178" s="65"/>
      <c r="G178" s="64" t="s">
        <v>811</v>
      </c>
      <c r="H178" s="64" t="s">
        <v>812</v>
      </c>
      <c r="I178" s="64"/>
      <c r="J178" s="64" t="s">
        <v>32</v>
      </c>
      <c r="K178" s="64" t="s">
        <v>33</v>
      </c>
      <c r="L178" s="64" t="s">
        <v>46</v>
      </c>
      <c r="M178" s="64" t="s">
        <v>112</v>
      </c>
      <c r="N178" s="64" t="s">
        <v>64</v>
      </c>
      <c r="O178" s="64"/>
      <c r="P178" s="64"/>
      <c r="Q178" s="280">
        <v>45460</v>
      </c>
      <c r="R178" s="280">
        <f>Q178+7</f>
        <v>45467</v>
      </c>
      <c r="S178" s="67"/>
      <c r="T178" s="67"/>
      <c r="U178" s="98"/>
      <c r="V178" s="98"/>
      <c r="W178" s="68" t="s">
        <v>813</v>
      </c>
      <c r="X178" s="64"/>
    </row>
    <row r="179" spans="1:34" s="69" customFormat="1" ht="18.95">
      <c r="A179" s="83" t="s">
        <v>814</v>
      </c>
      <c r="B179" s="64" t="s">
        <v>104</v>
      </c>
      <c r="C179" s="65">
        <v>5</v>
      </c>
      <c r="D179" s="65"/>
      <c r="E179" s="65"/>
      <c r="F179" s="65"/>
      <c r="G179" s="79" t="s">
        <v>815</v>
      </c>
      <c r="H179" s="79" t="s">
        <v>816</v>
      </c>
      <c r="I179" s="79"/>
      <c r="J179" s="79" t="s">
        <v>32</v>
      </c>
      <c r="K179" s="79" t="s">
        <v>817</v>
      </c>
      <c r="L179" s="79" t="s">
        <v>525</v>
      </c>
      <c r="M179" s="79" t="s">
        <v>818</v>
      </c>
      <c r="N179" s="79" t="s">
        <v>64</v>
      </c>
      <c r="O179" s="79"/>
      <c r="P179" s="79"/>
      <c r="Q179" s="280">
        <v>45464</v>
      </c>
      <c r="R179" s="280">
        <f>Q179+10</f>
        <v>45474</v>
      </c>
      <c r="S179" s="82"/>
      <c r="T179" s="82"/>
      <c r="U179" s="285"/>
      <c r="V179" s="285"/>
      <c r="W179" s="83" t="s">
        <v>819</v>
      </c>
      <c r="X179" s="79"/>
    </row>
    <row r="180" spans="1:34" s="69" customFormat="1" ht="18.95">
      <c r="A180" s="68" t="s">
        <v>820</v>
      </c>
      <c r="B180" s="64" t="s">
        <v>144</v>
      </c>
      <c r="C180" s="65">
        <v>5</v>
      </c>
      <c r="D180" s="65"/>
      <c r="E180" s="65"/>
      <c r="F180" s="65"/>
      <c r="G180" s="64" t="s">
        <v>821</v>
      </c>
      <c r="H180" s="64" t="s">
        <v>822</v>
      </c>
      <c r="I180" s="64"/>
      <c r="J180" s="64" t="s">
        <v>32</v>
      </c>
      <c r="K180" s="64" t="s">
        <v>70</v>
      </c>
      <c r="L180" s="64" t="s">
        <v>71</v>
      </c>
      <c r="M180" s="64" t="s">
        <v>823</v>
      </c>
      <c r="N180" s="64" t="s">
        <v>64</v>
      </c>
      <c r="O180" s="64"/>
      <c r="P180" s="64"/>
      <c r="Q180" s="280">
        <v>45518</v>
      </c>
      <c r="R180" s="280">
        <f>Q180+7</f>
        <v>45525</v>
      </c>
      <c r="S180" s="67"/>
      <c r="T180" s="67"/>
      <c r="U180" s="98"/>
      <c r="V180" s="98"/>
      <c r="W180" s="68" t="s">
        <v>824</v>
      </c>
      <c r="X180" s="79"/>
      <c r="AH180" s="73"/>
    </row>
    <row r="181" spans="1:34" s="69" customFormat="1" ht="18.95">
      <c r="A181" s="68" t="s">
        <v>825</v>
      </c>
      <c r="B181" s="64" t="s">
        <v>144</v>
      </c>
      <c r="C181" s="65">
        <v>5</v>
      </c>
      <c r="D181" s="65"/>
      <c r="E181" s="65"/>
      <c r="F181" s="65"/>
      <c r="G181" s="64" t="s">
        <v>488</v>
      </c>
      <c r="H181" s="64" t="s">
        <v>826</v>
      </c>
      <c r="I181" s="64"/>
      <c r="J181" s="64" t="s">
        <v>32</v>
      </c>
      <c r="K181" s="64" t="s">
        <v>33</v>
      </c>
      <c r="L181" s="64" t="s">
        <v>186</v>
      </c>
      <c r="M181" s="64" t="s">
        <v>780</v>
      </c>
      <c r="N181" s="64" t="s">
        <v>64</v>
      </c>
      <c r="O181" s="64"/>
      <c r="P181" s="64"/>
      <c r="Q181" s="280">
        <v>45533</v>
      </c>
      <c r="R181" s="280">
        <f>Q181+7</f>
        <v>45540</v>
      </c>
      <c r="S181" s="67"/>
      <c r="T181" s="67"/>
      <c r="U181" s="98"/>
      <c r="V181" s="98"/>
      <c r="W181" s="68" t="s">
        <v>827</v>
      </c>
      <c r="X181" s="64"/>
      <c r="AH181" s="73"/>
    </row>
    <row r="182" spans="1:34" s="69" customFormat="1" ht="18.95">
      <c r="A182" s="83" t="s">
        <v>828</v>
      </c>
      <c r="B182" s="64" t="s">
        <v>144</v>
      </c>
      <c r="C182" s="65">
        <v>5</v>
      </c>
      <c r="D182" s="65"/>
      <c r="E182" s="65"/>
      <c r="F182" s="65"/>
      <c r="G182" s="79" t="s">
        <v>829</v>
      </c>
      <c r="H182" s="79" t="s">
        <v>830</v>
      </c>
      <c r="I182" s="79"/>
      <c r="J182" s="79" t="s">
        <v>32</v>
      </c>
      <c r="K182" s="79" t="s">
        <v>315</v>
      </c>
      <c r="L182" s="79" t="s">
        <v>186</v>
      </c>
      <c r="M182" s="79" t="s">
        <v>275</v>
      </c>
      <c r="N182" s="79" t="s">
        <v>64</v>
      </c>
      <c r="O182" s="79"/>
      <c r="P182" s="79"/>
      <c r="Q182" s="280">
        <v>45533</v>
      </c>
      <c r="R182" s="280">
        <f>Q182+7</f>
        <v>45540</v>
      </c>
      <c r="S182" s="82"/>
      <c r="T182" s="82"/>
      <c r="U182" s="285"/>
      <c r="V182" s="285"/>
      <c r="W182" s="83" t="s">
        <v>679</v>
      </c>
      <c r="X182" s="79"/>
      <c r="AH182" s="73"/>
    </row>
    <row r="183" spans="1:34" s="69" customFormat="1" ht="18.95">
      <c r="A183" s="68" t="s">
        <v>831</v>
      </c>
      <c r="B183" s="64" t="s">
        <v>144</v>
      </c>
      <c r="C183" s="65">
        <v>5</v>
      </c>
      <c r="D183" s="65"/>
      <c r="E183" s="65"/>
      <c r="F183" s="65"/>
      <c r="G183" s="64" t="s">
        <v>832</v>
      </c>
      <c r="H183" s="64" t="s">
        <v>833</v>
      </c>
      <c r="I183" s="64"/>
      <c r="J183" s="64" t="s">
        <v>32</v>
      </c>
      <c r="K183" s="64" t="s">
        <v>33</v>
      </c>
      <c r="L183" s="64" t="s">
        <v>186</v>
      </c>
      <c r="M183" s="64" t="s">
        <v>275</v>
      </c>
      <c r="N183" s="64" t="s">
        <v>64</v>
      </c>
      <c r="O183" s="64"/>
      <c r="P183" s="64"/>
      <c r="Q183" s="280">
        <v>45534</v>
      </c>
      <c r="R183" s="280">
        <f>Q183+7</f>
        <v>45541</v>
      </c>
      <c r="S183" s="67"/>
      <c r="T183" s="67"/>
      <c r="U183" s="98"/>
      <c r="V183" s="98"/>
      <c r="W183" s="68" t="s">
        <v>834</v>
      </c>
      <c r="X183" s="64"/>
      <c r="AH183" s="73"/>
    </row>
    <row r="184" spans="1:34" s="69" customFormat="1" ht="38.1">
      <c r="A184" s="83" t="s">
        <v>835</v>
      </c>
      <c r="B184" s="64" t="s">
        <v>144</v>
      </c>
      <c r="C184" s="65">
        <v>5</v>
      </c>
      <c r="D184" s="65"/>
      <c r="E184" s="65"/>
      <c r="F184" s="65"/>
      <c r="G184" s="79" t="s">
        <v>836</v>
      </c>
      <c r="H184" s="79" t="s">
        <v>837</v>
      </c>
      <c r="I184" s="79"/>
      <c r="J184" s="79" t="s">
        <v>77</v>
      </c>
      <c r="K184" s="79" t="s">
        <v>311</v>
      </c>
      <c r="L184" s="79" t="s">
        <v>100</v>
      </c>
      <c r="M184" s="79" t="s">
        <v>838</v>
      </c>
      <c r="N184" s="79" t="s">
        <v>36</v>
      </c>
      <c r="O184" s="79"/>
      <c r="P184" s="79"/>
      <c r="Q184" s="280">
        <v>45407</v>
      </c>
      <c r="R184" s="280">
        <v>45545</v>
      </c>
      <c r="S184" s="82"/>
      <c r="T184" s="82"/>
      <c r="U184" s="285"/>
      <c r="V184" s="285"/>
      <c r="W184" s="83" t="s">
        <v>839</v>
      </c>
      <c r="X184" s="79"/>
      <c r="AH184" s="73"/>
    </row>
    <row r="185" spans="1:34" s="69" customFormat="1" ht="18.95">
      <c r="A185" s="253" t="s">
        <v>840</v>
      </c>
      <c r="B185" s="64" t="s">
        <v>144</v>
      </c>
      <c r="C185" s="65">
        <v>5</v>
      </c>
      <c r="D185" s="65"/>
      <c r="E185" s="65"/>
      <c r="F185" s="65"/>
      <c r="G185" s="64"/>
      <c r="H185" s="66" t="s">
        <v>841</v>
      </c>
      <c r="I185" s="66"/>
      <c r="J185" s="64" t="s">
        <v>842</v>
      </c>
      <c r="K185" s="64" t="s">
        <v>33</v>
      </c>
      <c r="L185" s="64" t="s">
        <v>46</v>
      </c>
      <c r="M185" s="64"/>
      <c r="N185" s="64"/>
      <c r="O185" s="64"/>
      <c r="P185" s="64"/>
      <c r="Q185" s="280">
        <v>45552</v>
      </c>
      <c r="R185" s="280">
        <f>Q185+7</f>
        <v>45559</v>
      </c>
      <c r="S185" s="67"/>
      <c r="T185" s="67"/>
      <c r="U185" s="98"/>
      <c r="V185" s="98"/>
      <c r="W185" s="68" t="s">
        <v>843</v>
      </c>
      <c r="X185" s="64"/>
      <c r="AH185" s="73"/>
    </row>
    <row r="186" spans="1:34" s="69" customFormat="1" ht="18.95">
      <c r="A186" s="253" t="s">
        <v>844</v>
      </c>
      <c r="B186" s="64" t="s">
        <v>144</v>
      </c>
      <c r="C186" s="65">
        <v>5</v>
      </c>
      <c r="D186" s="65"/>
      <c r="E186" s="65"/>
      <c r="F186" s="65"/>
      <c r="G186" s="64"/>
      <c r="H186" s="66" t="s">
        <v>845</v>
      </c>
      <c r="I186" s="66"/>
      <c r="J186" s="64" t="s">
        <v>842</v>
      </c>
      <c r="K186" s="64" t="s">
        <v>33</v>
      </c>
      <c r="L186" s="64" t="s">
        <v>46</v>
      </c>
      <c r="M186" s="64"/>
      <c r="N186" s="64" t="s">
        <v>82</v>
      </c>
      <c r="O186" s="64"/>
      <c r="P186" s="64"/>
      <c r="Q186" s="280">
        <v>45552</v>
      </c>
      <c r="R186" s="280">
        <f>Q186+7</f>
        <v>45559</v>
      </c>
      <c r="S186" s="67"/>
      <c r="T186" s="67"/>
      <c r="U186" s="98"/>
      <c r="V186" s="98"/>
      <c r="W186" s="68" t="s">
        <v>843</v>
      </c>
      <c r="X186" s="64"/>
      <c r="AH186" s="73"/>
    </row>
    <row r="187" spans="1:34" s="69" customFormat="1" ht="63" customHeight="1">
      <c r="A187" s="68" t="s">
        <v>846</v>
      </c>
      <c r="B187" s="64" t="s">
        <v>144</v>
      </c>
      <c r="C187" s="65">
        <v>5</v>
      </c>
      <c r="D187" s="65"/>
      <c r="E187" s="65"/>
      <c r="F187" s="65"/>
      <c r="G187" s="64" t="s">
        <v>183</v>
      </c>
      <c r="H187" s="64" t="s">
        <v>847</v>
      </c>
      <c r="I187" s="64"/>
      <c r="J187" s="64" t="s">
        <v>32</v>
      </c>
      <c r="K187" s="64" t="s">
        <v>594</v>
      </c>
      <c r="L187" s="64" t="s">
        <v>46</v>
      </c>
      <c r="M187" s="64" t="s">
        <v>134</v>
      </c>
      <c r="N187" s="64" t="s">
        <v>64</v>
      </c>
      <c r="O187" s="64"/>
      <c r="P187" s="64"/>
      <c r="Q187" s="280">
        <v>45555</v>
      </c>
      <c r="R187" s="280">
        <f>Q187+10</f>
        <v>45565</v>
      </c>
      <c r="S187" s="67"/>
      <c r="T187" s="67"/>
      <c r="U187" s="98"/>
      <c r="V187" s="98"/>
      <c r="W187" s="68" t="s">
        <v>848</v>
      </c>
      <c r="X187" s="64"/>
      <c r="AH187" s="73"/>
    </row>
    <row r="188" spans="1:34" s="69" customFormat="1" ht="38.1">
      <c r="A188" s="253" t="s">
        <v>849</v>
      </c>
      <c r="B188" s="78" t="s">
        <v>144</v>
      </c>
      <c r="C188" s="65">
        <v>5</v>
      </c>
      <c r="D188" s="65"/>
      <c r="E188" s="65"/>
      <c r="F188" s="65" t="s">
        <v>416</v>
      </c>
      <c r="G188" s="64" t="s">
        <v>850</v>
      </c>
      <c r="H188" s="64" t="s">
        <v>851</v>
      </c>
      <c r="I188" s="64"/>
      <c r="J188" s="64" t="s">
        <v>32</v>
      </c>
      <c r="K188" s="64" t="s">
        <v>33</v>
      </c>
      <c r="L188" s="64" t="s">
        <v>285</v>
      </c>
      <c r="M188" s="64"/>
      <c r="N188" s="64" t="s">
        <v>64</v>
      </c>
      <c r="O188" s="64"/>
      <c r="P188" s="64"/>
      <c r="Q188" s="280">
        <v>45972</v>
      </c>
      <c r="R188" s="280">
        <f>Q188+7</f>
        <v>45979</v>
      </c>
      <c r="S188" s="67"/>
      <c r="T188" s="67"/>
      <c r="U188" s="98"/>
      <c r="V188" s="98"/>
      <c r="W188" s="68" t="s">
        <v>852</v>
      </c>
      <c r="X188" s="64"/>
      <c r="AH188" s="73"/>
    </row>
    <row r="189" spans="1:34" s="69" customFormat="1" ht="114">
      <c r="A189" s="68" t="s">
        <v>853</v>
      </c>
      <c r="B189" s="64" t="s">
        <v>380</v>
      </c>
      <c r="C189" s="65">
        <v>5</v>
      </c>
      <c r="D189" s="65"/>
      <c r="E189" s="65"/>
      <c r="F189" s="65"/>
      <c r="G189" s="64" t="s">
        <v>821</v>
      </c>
      <c r="H189" s="64" t="s">
        <v>854</v>
      </c>
      <c r="I189" s="64"/>
      <c r="J189" s="64" t="s">
        <v>32</v>
      </c>
      <c r="K189" s="64" t="s">
        <v>369</v>
      </c>
      <c r="L189" s="79" t="s">
        <v>46</v>
      </c>
      <c r="M189" s="79" t="s">
        <v>855</v>
      </c>
      <c r="N189" s="79" t="s">
        <v>42</v>
      </c>
      <c r="O189" s="79"/>
      <c r="P189" s="79"/>
      <c r="Q189" s="280">
        <v>45560</v>
      </c>
      <c r="R189" s="280">
        <f>Q189+7</f>
        <v>45567</v>
      </c>
      <c r="S189" s="67"/>
      <c r="T189" s="67"/>
      <c r="U189" s="98"/>
      <c r="V189" s="98"/>
      <c r="W189" s="68" t="s">
        <v>856</v>
      </c>
      <c r="X189" s="64"/>
      <c r="AH189" s="73"/>
    </row>
    <row r="190" spans="1:34" s="69" customFormat="1" ht="18.95">
      <c r="A190" s="68" t="s">
        <v>857</v>
      </c>
      <c r="B190" s="78" t="s">
        <v>144</v>
      </c>
      <c r="C190" s="65">
        <v>5</v>
      </c>
      <c r="D190" s="65"/>
      <c r="E190" s="65"/>
      <c r="F190" s="65" t="s">
        <v>416</v>
      </c>
      <c r="G190" s="64" t="s">
        <v>90</v>
      </c>
      <c r="H190" s="64" t="s">
        <v>858</v>
      </c>
      <c r="I190" s="64"/>
      <c r="J190" s="64" t="s">
        <v>32</v>
      </c>
      <c r="K190" s="64" t="s">
        <v>33</v>
      </c>
      <c r="L190" s="64" t="s">
        <v>46</v>
      </c>
      <c r="M190" s="64"/>
      <c r="N190" s="64" t="s">
        <v>64</v>
      </c>
      <c r="O190" s="64"/>
      <c r="P190" s="64"/>
      <c r="Q190" s="280">
        <v>45561</v>
      </c>
      <c r="R190" s="280">
        <f>Q190+7</f>
        <v>45568</v>
      </c>
      <c r="S190" s="67"/>
      <c r="T190" s="67"/>
      <c r="U190" s="98"/>
      <c r="V190" s="98"/>
      <c r="W190" s="68" t="s">
        <v>859</v>
      </c>
      <c r="X190" s="64"/>
      <c r="AH190" s="73"/>
    </row>
    <row r="191" spans="1:34" s="69" customFormat="1" ht="38.1">
      <c r="A191" s="68" t="s">
        <v>860</v>
      </c>
      <c r="B191" s="64" t="s">
        <v>144</v>
      </c>
      <c r="C191" s="65">
        <v>5</v>
      </c>
      <c r="D191" s="65" t="s">
        <v>50</v>
      </c>
      <c r="E191" s="65"/>
      <c r="F191" s="65"/>
      <c r="G191" s="64" t="s">
        <v>861</v>
      </c>
      <c r="H191" s="71" t="s">
        <v>862</v>
      </c>
      <c r="I191" s="71"/>
      <c r="J191" s="64" t="s">
        <v>32</v>
      </c>
      <c r="K191" s="64" t="s">
        <v>33</v>
      </c>
      <c r="L191" s="64" t="s">
        <v>111</v>
      </c>
      <c r="M191" s="64" t="s">
        <v>72</v>
      </c>
      <c r="N191" s="64" t="s">
        <v>64</v>
      </c>
      <c r="O191" s="72"/>
      <c r="P191" s="72"/>
      <c r="Q191" s="280">
        <v>45579</v>
      </c>
      <c r="R191" s="280">
        <f>Q191+7</f>
        <v>45586</v>
      </c>
      <c r="S191" s="67"/>
      <c r="T191" s="67"/>
      <c r="U191" s="98"/>
      <c r="V191" s="98"/>
      <c r="W191" s="83" t="s">
        <v>863</v>
      </c>
      <c r="X191" s="79"/>
      <c r="AH191" s="73"/>
    </row>
    <row r="192" spans="1:34" s="69" customFormat="1" ht="18.95">
      <c r="A192" s="68" t="s">
        <v>864</v>
      </c>
      <c r="B192" s="64" t="s">
        <v>144</v>
      </c>
      <c r="C192" s="65">
        <v>5</v>
      </c>
      <c r="D192" s="65" t="s">
        <v>28</v>
      </c>
      <c r="E192" s="65"/>
      <c r="F192" s="65"/>
      <c r="G192" s="64" t="s">
        <v>90</v>
      </c>
      <c r="H192" s="66" t="s">
        <v>865</v>
      </c>
      <c r="I192" s="66"/>
      <c r="J192" s="64" t="s">
        <v>32</v>
      </c>
      <c r="K192" s="64" t="s">
        <v>866</v>
      </c>
      <c r="L192" s="64" t="s">
        <v>111</v>
      </c>
      <c r="M192" s="64"/>
      <c r="N192" s="64" t="s">
        <v>64</v>
      </c>
      <c r="O192" s="64"/>
      <c r="P192" s="64"/>
      <c r="Q192" s="280">
        <v>45579</v>
      </c>
      <c r="R192" s="280">
        <f>Q192+10</f>
        <v>45589</v>
      </c>
      <c r="S192" s="67"/>
      <c r="T192" s="67"/>
      <c r="U192" s="98"/>
      <c r="V192" s="98"/>
      <c r="W192" s="68" t="s">
        <v>867</v>
      </c>
      <c r="X192" s="64"/>
      <c r="AH192" s="73"/>
    </row>
    <row r="193" spans="1:34" s="69" customFormat="1" ht="18.95">
      <c r="A193" s="68" t="s">
        <v>868</v>
      </c>
      <c r="B193" s="64" t="s">
        <v>144</v>
      </c>
      <c r="C193" s="65">
        <v>5</v>
      </c>
      <c r="D193" s="65" t="s">
        <v>421</v>
      </c>
      <c r="E193" s="65"/>
      <c r="F193" s="65"/>
      <c r="G193" s="64" t="s">
        <v>869</v>
      </c>
      <c r="H193" s="66" t="s">
        <v>870</v>
      </c>
      <c r="I193" s="66"/>
      <c r="J193" s="64" t="s">
        <v>32</v>
      </c>
      <c r="K193" s="64" t="s">
        <v>33</v>
      </c>
      <c r="L193" s="64" t="s">
        <v>34</v>
      </c>
      <c r="M193" s="64"/>
      <c r="N193" s="64" t="s">
        <v>64</v>
      </c>
      <c r="O193" s="64"/>
      <c r="P193" s="64"/>
      <c r="Q193" s="280">
        <v>45593</v>
      </c>
      <c r="R193" s="280">
        <f>Q193+7</f>
        <v>45600</v>
      </c>
      <c r="S193" s="67"/>
      <c r="T193" s="67"/>
      <c r="U193" s="98"/>
      <c r="V193" s="98"/>
      <c r="W193" s="68" t="s">
        <v>871</v>
      </c>
      <c r="X193" s="64"/>
      <c r="AH193" s="73"/>
    </row>
    <row r="194" spans="1:34" s="69" customFormat="1" ht="18.95">
      <c r="A194" s="68" t="s">
        <v>872</v>
      </c>
      <c r="B194" s="64" t="s">
        <v>144</v>
      </c>
      <c r="C194" s="65">
        <v>5</v>
      </c>
      <c r="D194" s="65"/>
      <c r="E194" s="65"/>
      <c r="F194" s="65"/>
      <c r="G194" s="64" t="s">
        <v>183</v>
      </c>
      <c r="H194" s="71" t="s">
        <v>873</v>
      </c>
      <c r="I194" s="71"/>
      <c r="J194" s="64" t="s">
        <v>32</v>
      </c>
      <c r="K194" s="64" t="s">
        <v>33</v>
      </c>
      <c r="L194" s="64" t="s">
        <v>285</v>
      </c>
      <c r="M194" s="64"/>
      <c r="N194" s="64"/>
      <c r="O194" s="72"/>
      <c r="P194" s="72"/>
      <c r="Q194" s="280">
        <v>45600</v>
      </c>
      <c r="R194" s="280">
        <f>Q194+7</f>
        <v>45607</v>
      </c>
      <c r="S194" s="67"/>
      <c r="T194" s="67"/>
      <c r="U194" s="98"/>
      <c r="V194" s="98"/>
      <c r="W194" s="83" t="s">
        <v>874</v>
      </c>
      <c r="X194" s="79"/>
      <c r="AH194" s="73"/>
    </row>
    <row r="195" spans="1:34" s="69" customFormat="1" ht="18.95">
      <c r="A195" s="68" t="s">
        <v>875</v>
      </c>
      <c r="B195" s="64" t="s">
        <v>144</v>
      </c>
      <c r="C195" s="65">
        <v>5</v>
      </c>
      <c r="D195" s="65"/>
      <c r="E195" s="65"/>
      <c r="F195" s="65"/>
      <c r="G195" s="64" t="s">
        <v>876</v>
      </c>
      <c r="H195" s="66" t="s">
        <v>877</v>
      </c>
      <c r="I195" s="66"/>
      <c r="J195" s="64" t="s">
        <v>32</v>
      </c>
      <c r="K195" s="64" t="s">
        <v>33</v>
      </c>
      <c r="L195" s="64" t="s">
        <v>111</v>
      </c>
      <c r="M195" s="64" t="s">
        <v>878</v>
      </c>
      <c r="N195" s="64"/>
      <c r="O195" s="64"/>
      <c r="P195" s="64"/>
      <c r="Q195" s="280">
        <v>45595</v>
      </c>
      <c r="R195" s="280">
        <v>45614</v>
      </c>
      <c r="S195" s="67"/>
      <c r="T195" s="67"/>
      <c r="U195" s="98"/>
      <c r="V195" s="98"/>
      <c r="W195" s="68" t="s">
        <v>879</v>
      </c>
      <c r="X195" s="64"/>
      <c r="AH195" s="73"/>
    </row>
    <row r="196" spans="1:34" s="69" customFormat="1" ht="38.1">
      <c r="A196" s="68" t="s">
        <v>880</v>
      </c>
      <c r="B196" s="64" t="s">
        <v>144</v>
      </c>
      <c r="C196" s="65">
        <v>5</v>
      </c>
      <c r="D196" s="65" t="s">
        <v>633</v>
      </c>
      <c r="E196" s="65"/>
      <c r="F196" s="65"/>
      <c r="G196" s="64" t="s">
        <v>881</v>
      </c>
      <c r="H196" s="66" t="s">
        <v>280</v>
      </c>
      <c r="I196" s="66"/>
      <c r="J196" s="64" t="s">
        <v>32</v>
      </c>
      <c r="K196" s="64" t="s">
        <v>33</v>
      </c>
      <c r="L196" s="64" t="s">
        <v>111</v>
      </c>
      <c r="M196" s="64" t="s">
        <v>112</v>
      </c>
      <c r="N196" s="64" t="s">
        <v>64</v>
      </c>
      <c r="O196" s="64"/>
      <c r="P196" s="64"/>
      <c r="Q196" s="280">
        <v>45595</v>
      </c>
      <c r="R196" s="280">
        <v>45614</v>
      </c>
      <c r="S196" s="67"/>
      <c r="T196" s="67"/>
      <c r="U196" s="98"/>
      <c r="V196" s="98"/>
      <c r="W196" s="68" t="s">
        <v>882</v>
      </c>
      <c r="X196" s="64"/>
      <c r="AH196" s="73"/>
    </row>
    <row r="197" spans="1:34" s="69" customFormat="1" ht="38.1">
      <c r="A197" s="77" t="s">
        <v>883</v>
      </c>
      <c r="B197" s="64" t="s">
        <v>144</v>
      </c>
      <c r="C197" s="65">
        <v>5</v>
      </c>
      <c r="D197" s="65"/>
      <c r="E197" s="65"/>
      <c r="F197" s="65"/>
      <c r="G197" s="64" t="s">
        <v>884</v>
      </c>
      <c r="H197" s="64" t="s">
        <v>885</v>
      </c>
      <c r="I197" s="64"/>
      <c r="J197" s="64" t="s">
        <v>32</v>
      </c>
      <c r="K197" s="64" t="s">
        <v>33</v>
      </c>
      <c r="L197" s="64" t="s">
        <v>34</v>
      </c>
      <c r="M197" s="64" t="s">
        <v>134</v>
      </c>
      <c r="N197" s="64" t="s">
        <v>36</v>
      </c>
      <c r="O197" s="64"/>
      <c r="P197" s="64"/>
      <c r="Q197" s="280">
        <v>45348</v>
      </c>
      <c r="R197" s="280">
        <v>45614</v>
      </c>
      <c r="S197" s="67"/>
      <c r="T197" s="67"/>
      <c r="U197" s="98"/>
      <c r="V197" s="98"/>
      <c r="W197" s="68" t="s">
        <v>886</v>
      </c>
      <c r="X197" s="64"/>
      <c r="AH197" s="73"/>
    </row>
    <row r="198" spans="1:34" s="69" customFormat="1" ht="38.1">
      <c r="A198" s="68" t="s">
        <v>887</v>
      </c>
      <c r="B198" s="64" t="s">
        <v>144</v>
      </c>
      <c r="C198" s="65">
        <v>5</v>
      </c>
      <c r="D198" s="65"/>
      <c r="E198" s="65"/>
      <c r="F198" s="65" t="s">
        <v>416</v>
      </c>
      <c r="G198" s="64" t="s">
        <v>888</v>
      </c>
      <c r="H198" s="64" t="s">
        <v>889</v>
      </c>
      <c r="I198" s="64"/>
      <c r="J198" s="64" t="s">
        <v>32</v>
      </c>
      <c r="K198" s="64" t="s">
        <v>890</v>
      </c>
      <c r="L198" s="64" t="s">
        <v>46</v>
      </c>
      <c r="M198" s="64"/>
      <c r="N198" s="64" t="s">
        <v>64</v>
      </c>
      <c r="O198" s="64"/>
      <c r="P198" s="64"/>
      <c r="Q198" s="280">
        <v>45595</v>
      </c>
      <c r="R198" s="280">
        <v>45614</v>
      </c>
      <c r="S198" s="67"/>
      <c r="T198" s="67"/>
      <c r="U198" s="98"/>
      <c r="V198" s="98"/>
      <c r="W198" s="68" t="s">
        <v>891</v>
      </c>
      <c r="X198" s="64"/>
      <c r="AH198" s="73"/>
    </row>
    <row r="199" spans="1:34" s="69" customFormat="1" ht="18.95">
      <c r="A199" s="68" t="s">
        <v>892</v>
      </c>
      <c r="B199" s="64" t="s">
        <v>104</v>
      </c>
      <c r="C199" s="65">
        <v>5</v>
      </c>
      <c r="D199" s="65"/>
      <c r="E199" s="65"/>
      <c r="F199" s="65"/>
      <c r="G199" s="64" t="s">
        <v>893</v>
      </c>
      <c r="H199" s="64" t="s">
        <v>894</v>
      </c>
      <c r="I199" s="64"/>
      <c r="J199" s="64" t="s">
        <v>32</v>
      </c>
      <c r="K199" s="64" t="s">
        <v>33</v>
      </c>
      <c r="L199" s="64" t="s">
        <v>895</v>
      </c>
      <c r="M199" s="64" t="s">
        <v>112</v>
      </c>
      <c r="N199" s="64" t="s">
        <v>64</v>
      </c>
      <c r="O199" s="64"/>
      <c r="P199" s="64"/>
      <c r="Q199" s="280">
        <v>45606</v>
      </c>
      <c r="R199" s="280">
        <f>Q199+10</f>
        <v>45616</v>
      </c>
      <c r="S199" s="67"/>
      <c r="T199" s="67"/>
      <c r="U199" s="98"/>
      <c r="V199" s="98"/>
      <c r="W199" s="68" t="s">
        <v>896</v>
      </c>
      <c r="X199" s="64"/>
      <c r="AH199" s="73"/>
    </row>
    <row r="200" spans="1:34" s="69" customFormat="1" ht="18.95">
      <c r="A200" s="68" t="s">
        <v>897</v>
      </c>
      <c r="B200" s="64" t="s">
        <v>144</v>
      </c>
      <c r="C200" s="65">
        <v>5</v>
      </c>
      <c r="D200" s="65"/>
      <c r="E200" s="65"/>
      <c r="F200" s="65"/>
      <c r="G200" s="64" t="s">
        <v>443</v>
      </c>
      <c r="H200" s="64" t="s">
        <v>898</v>
      </c>
      <c r="I200" s="64"/>
      <c r="J200" s="64" t="s">
        <v>32</v>
      </c>
      <c r="K200" s="64" t="s">
        <v>297</v>
      </c>
      <c r="L200" s="64"/>
      <c r="M200" s="64"/>
      <c r="N200" s="64"/>
      <c r="O200" s="64"/>
      <c r="P200" s="64"/>
      <c r="Q200" s="280">
        <v>45617</v>
      </c>
      <c r="R200" s="280">
        <v>45617</v>
      </c>
      <c r="S200" s="67"/>
      <c r="T200" s="67"/>
      <c r="U200" s="98"/>
      <c r="V200" s="98"/>
      <c r="W200" s="68" t="s">
        <v>899</v>
      </c>
      <c r="X200" s="64"/>
      <c r="AH200" s="73"/>
    </row>
    <row r="201" spans="1:34" s="69" customFormat="1" ht="57">
      <c r="A201" s="77" t="s">
        <v>900</v>
      </c>
      <c r="B201" s="64" t="s">
        <v>144</v>
      </c>
      <c r="C201" s="65">
        <v>5</v>
      </c>
      <c r="D201" s="65" t="s">
        <v>671</v>
      </c>
      <c r="E201" s="65" t="s">
        <v>518</v>
      </c>
      <c r="F201" s="65"/>
      <c r="G201" s="64" t="s">
        <v>901</v>
      </c>
      <c r="H201" s="64" t="s">
        <v>521</v>
      </c>
      <c r="I201" s="64"/>
      <c r="J201" s="64" t="s">
        <v>32</v>
      </c>
      <c r="K201" s="64" t="s">
        <v>33</v>
      </c>
      <c r="L201" s="79" t="s">
        <v>111</v>
      </c>
      <c r="M201" s="79" t="s">
        <v>780</v>
      </c>
      <c r="N201" s="79" t="s">
        <v>64</v>
      </c>
      <c r="O201" s="79"/>
      <c r="P201" s="79"/>
      <c r="Q201" s="280">
        <v>45618</v>
      </c>
      <c r="R201" s="280">
        <f>Q201+7</f>
        <v>45625</v>
      </c>
      <c r="S201" s="80"/>
      <c r="T201" s="80"/>
      <c r="U201" s="288"/>
      <c r="V201" s="288"/>
      <c r="W201" s="68" t="s">
        <v>902</v>
      </c>
      <c r="X201" s="64"/>
      <c r="AH201" s="73"/>
    </row>
    <row r="202" spans="1:34" s="69" customFormat="1" ht="18.95">
      <c r="A202" s="255" t="s">
        <v>903</v>
      </c>
      <c r="B202" s="64"/>
      <c r="C202" s="65">
        <v>5</v>
      </c>
      <c r="D202" s="65"/>
      <c r="E202" s="65"/>
      <c r="F202" s="65"/>
      <c r="G202" s="64"/>
      <c r="H202" s="71" t="s">
        <v>904</v>
      </c>
      <c r="I202" s="71"/>
      <c r="J202" s="64" t="s">
        <v>905</v>
      </c>
      <c r="K202" s="64" t="s">
        <v>33</v>
      </c>
      <c r="L202" s="64"/>
      <c r="M202" s="64"/>
      <c r="N202" s="64"/>
      <c r="O202" s="72"/>
      <c r="P202" s="72"/>
      <c r="Q202" s="280">
        <v>45615</v>
      </c>
      <c r="R202" s="280">
        <f>Q202+10</f>
        <v>45625</v>
      </c>
      <c r="S202" s="67"/>
      <c r="T202" s="67"/>
      <c r="U202" s="98"/>
      <c r="V202" s="98"/>
      <c r="W202" s="68" t="s">
        <v>906</v>
      </c>
      <c r="X202" s="64"/>
      <c r="AH202" s="73"/>
    </row>
    <row r="203" spans="1:34" s="69" customFormat="1" ht="38.1">
      <c r="A203" s="68" t="s">
        <v>907</v>
      </c>
      <c r="B203" s="64" t="s">
        <v>144</v>
      </c>
      <c r="C203" s="65">
        <v>5</v>
      </c>
      <c r="D203" s="65" t="s">
        <v>421</v>
      </c>
      <c r="E203" s="65"/>
      <c r="F203" s="65"/>
      <c r="G203" s="64"/>
      <c r="H203" s="66" t="s">
        <v>908</v>
      </c>
      <c r="I203" s="66"/>
      <c r="J203" s="64" t="s">
        <v>32</v>
      </c>
      <c r="K203" s="64" t="s">
        <v>33</v>
      </c>
      <c r="L203" s="64" t="s">
        <v>909</v>
      </c>
      <c r="M203" s="64"/>
      <c r="N203" s="64"/>
      <c r="O203" s="64"/>
      <c r="P203" s="64"/>
      <c r="Q203" s="280">
        <v>45621</v>
      </c>
      <c r="R203" s="280">
        <f>Q203+7</f>
        <v>45628</v>
      </c>
      <c r="S203" s="67"/>
      <c r="T203" s="67"/>
      <c r="U203" s="98"/>
      <c r="V203" s="98"/>
      <c r="W203" s="68" t="s">
        <v>910</v>
      </c>
      <c r="X203" s="64"/>
      <c r="AH203" s="73"/>
    </row>
    <row r="204" spans="1:34" s="69" customFormat="1" ht="18.95">
      <c r="A204" s="68" t="s">
        <v>911</v>
      </c>
      <c r="B204" s="64" t="s">
        <v>144</v>
      </c>
      <c r="C204" s="65">
        <v>5</v>
      </c>
      <c r="D204" s="65" t="s">
        <v>671</v>
      </c>
      <c r="E204" s="65"/>
      <c r="F204" s="65"/>
      <c r="G204" s="64" t="s">
        <v>912</v>
      </c>
      <c r="H204" s="64" t="s">
        <v>913</v>
      </c>
      <c r="I204" s="64"/>
      <c r="J204" s="64" t="s">
        <v>32</v>
      </c>
      <c r="K204" s="64" t="s">
        <v>33</v>
      </c>
      <c r="L204" s="79" t="s">
        <v>46</v>
      </c>
      <c r="M204" s="79" t="s">
        <v>275</v>
      </c>
      <c r="N204" s="79" t="s">
        <v>64</v>
      </c>
      <c r="O204" s="79"/>
      <c r="P204" s="79"/>
      <c r="Q204" s="280">
        <v>45615</v>
      </c>
      <c r="R204" s="280">
        <f>Q204+21</f>
        <v>45636</v>
      </c>
      <c r="S204" s="67"/>
      <c r="T204" s="67"/>
      <c r="U204" s="98"/>
      <c r="V204" s="98"/>
      <c r="W204" s="68" t="s">
        <v>914</v>
      </c>
      <c r="X204" s="64"/>
      <c r="AH204" s="73"/>
    </row>
    <row r="205" spans="1:34" s="69" customFormat="1" ht="87.95" customHeight="1">
      <c r="A205" s="68" t="s">
        <v>915</v>
      </c>
      <c r="B205" s="64" t="s">
        <v>144</v>
      </c>
      <c r="C205" s="65">
        <v>5</v>
      </c>
      <c r="D205" s="65" t="s">
        <v>28</v>
      </c>
      <c r="E205" s="65"/>
      <c r="F205" s="65"/>
      <c r="G205" s="64" t="s">
        <v>916</v>
      </c>
      <c r="H205" s="64" t="s">
        <v>917</v>
      </c>
      <c r="I205" s="64"/>
      <c r="J205" s="64" t="s">
        <v>32</v>
      </c>
      <c r="K205" s="64" t="s">
        <v>33</v>
      </c>
      <c r="L205" s="64"/>
      <c r="M205" s="64"/>
      <c r="N205" s="64"/>
      <c r="O205" s="64"/>
      <c r="P205" s="64"/>
      <c r="Q205" s="280">
        <v>45637</v>
      </c>
      <c r="R205" s="280">
        <f>Q205+2</f>
        <v>45639</v>
      </c>
      <c r="S205" s="67"/>
      <c r="T205" s="67"/>
      <c r="U205" s="98"/>
      <c r="V205" s="98"/>
      <c r="W205" s="68" t="s">
        <v>918</v>
      </c>
      <c r="X205" s="64"/>
      <c r="AH205" s="73"/>
    </row>
    <row r="206" spans="1:34" s="69" customFormat="1" ht="38.1">
      <c r="A206" s="68" t="s">
        <v>919</v>
      </c>
      <c r="B206" s="64" t="s">
        <v>104</v>
      </c>
      <c r="C206" s="65">
        <v>5</v>
      </c>
      <c r="D206" s="65" t="s">
        <v>920</v>
      </c>
      <c r="E206" s="65"/>
      <c r="F206" s="65" t="s">
        <v>921</v>
      </c>
      <c r="G206" s="64" t="s">
        <v>922</v>
      </c>
      <c r="H206" s="66" t="s">
        <v>923</v>
      </c>
      <c r="I206" s="66"/>
      <c r="J206" s="64" t="s">
        <v>32</v>
      </c>
      <c r="K206" s="64" t="s">
        <v>33</v>
      </c>
      <c r="L206" s="64" t="s">
        <v>111</v>
      </c>
      <c r="M206" s="64" t="s">
        <v>924</v>
      </c>
      <c r="N206" s="64" t="s">
        <v>64</v>
      </c>
      <c r="O206" s="64"/>
      <c r="P206" s="64"/>
      <c r="Q206" s="280">
        <v>45637</v>
      </c>
      <c r="R206" s="280">
        <f>Q206+7</f>
        <v>45644</v>
      </c>
      <c r="S206" s="67"/>
      <c r="T206" s="67"/>
      <c r="U206" s="98"/>
      <c r="V206" s="98"/>
      <c r="W206" s="68" t="s">
        <v>925</v>
      </c>
      <c r="X206" s="64"/>
      <c r="AH206" s="73"/>
    </row>
    <row r="207" spans="1:34" s="69" customFormat="1" ht="95.1">
      <c r="A207" s="68" t="s">
        <v>926</v>
      </c>
      <c r="B207" s="64" t="s">
        <v>144</v>
      </c>
      <c r="C207" s="65">
        <v>5</v>
      </c>
      <c r="D207" s="65"/>
      <c r="E207" s="65"/>
      <c r="F207" s="65"/>
      <c r="G207" s="64" t="s">
        <v>927</v>
      </c>
      <c r="H207" s="64" t="s">
        <v>928</v>
      </c>
      <c r="I207" s="64"/>
      <c r="J207" s="64" t="s">
        <v>32</v>
      </c>
      <c r="K207" s="64" t="s">
        <v>33</v>
      </c>
      <c r="L207" s="79"/>
      <c r="M207" s="79"/>
      <c r="N207" s="79"/>
      <c r="O207" s="79"/>
      <c r="P207" s="79"/>
      <c r="Q207" s="280">
        <v>45639</v>
      </c>
      <c r="R207" s="280">
        <f>Q207+7</f>
        <v>45646</v>
      </c>
      <c r="S207" s="67"/>
      <c r="T207" s="67"/>
      <c r="U207" s="98"/>
      <c r="V207" s="98"/>
      <c r="W207" s="68" t="s">
        <v>929</v>
      </c>
      <c r="X207" s="64"/>
      <c r="AH207" s="73"/>
    </row>
    <row r="208" spans="1:34" s="69" customFormat="1" ht="38.1">
      <c r="A208" s="252" t="s">
        <v>930</v>
      </c>
      <c r="B208" s="64" t="s">
        <v>268</v>
      </c>
      <c r="C208" s="65">
        <v>5</v>
      </c>
      <c r="D208" s="65"/>
      <c r="E208" s="65"/>
      <c r="F208" s="65"/>
      <c r="G208" s="64"/>
      <c r="H208" s="64" t="s">
        <v>931</v>
      </c>
      <c r="I208" s="64"/>
      <c r="J208" s="64" t="s">
        <v>32</v>
      </c>
      <c r="K208" s="64" t="s">
        <v>33</v>
      </c>
      <c r="L208" s="64"/>
      <c r="M208" s="64"/>
      <c r="N208" s="64"/>
      <c r="O208" s="64"/>
      <c r="P208" s="64"/>
      <c r="Q208" s="280">
        <v>45677</v>
      </c>
      <c r="R208" s="280">
        <f>Q208+10</f>
        <v>45687</v>
      </c>
      <c r="S208" s="75"/>
      <c r="T208" s="75"/>
      <c r="U208" s="284"/>
      <c r="V208" s="284"/>
      <c r="W208" s="68" t="s">
        <v>932</v>
      </c>
      <c r="X208" s="64"/>
      <c r="AH208" s="73"/>
    </row>
    <row r="209" spans="1:34" s="69" customFormat="1" ht="18.95">
      <c r="A209" s="68" t="s">
        <v>933</v>
      </c>
      <c r="B209" s="64" t="s">
        <v>144</v>
      </c>
      <c r="C209" s="65">
        <v>5</v>
      </c>
      <c r="D209" s="65" t="s">
        <v>502</v>
      </c>
      <c r="E209" s="65"/>
      <c r="F209" s="65"/>
      <c r="G209" s="64" t="s">
        <v>934</v>
      </c>
      <c r="H209" s="64" t="s">
        <v>485</v>
      </c>
      <c r="I209" s="64">
        <v>661</v>
      </c>
      <c r="J209" s="64" t="s">
        <v>32</v>
      </c>
      <c r="K209" s="64" t="s">
        <v>33</v>
      </c>
      <c r="L209" s="64"/>
      <c r="M209" s="64"/>
      <c r="N209" s="64"/>
      <c r="O209" s="64"/>
      <c r="P209" s="64"/>
      <c r="Q209" s="280">
        <v>45680</v>
      </c>
      <c r="R209" s="280">
        <f>Q209+7</f>
        <v>45687</v>
      </c>
      <c r="S209" s="75"/>
      <c r="T209" s="75"/>
      <c r="U209" s="284"/>
      <c r="V209" s="284"/>
      <c r="W209" s="68" t="s">
        <v>935</v>
      </c>
      <c r="X209" s="64"/>
      <c r="AH209" s="73"/>
    </row>
    <row r="210" spans="1:34" s="69" customFormat="1" ht="18.95">
      <c r="A210" s="68" t="s">
        <v>936</v>
      </c>
      <c r="B210" s="64" t="s">
        <v>144</v>
      </c>
      <c r="C210" s="65">
        <v>5</v>
      </c>
      <c r="D210" s="65" t="s">
        <v>421</v>
      </c>
      <c r="E210" s="65"/>
      <c r="F210" s="65"/>
      <c r="G210" s="64"/>
      <c r="H210" s="64" t="s">
        <v>937</v>
      </c>
      <c r="I210" s="64"/>
      <c r="J210" s="64" t="s">
        <v>32</v>
      </c>
      <c r="K210" s="64" t="s">
        <v>33</v>
      </c>
      <c r="L210" s="64"/>
      <c r="M210" s="64"/>
      <c r="N210" s="64"/>
      <c r="O210" s="64"/>
      <c r="P210" s="64"/>
      <c r="Q210" s="280">
        <v>45684</v>
      </c>
      <c r="R210" s="280">
        <f>Q210+7</f>
        <v>45691</v>
      </c>
      <c r="S210" s="67"/>
      <c r="T210" s="67"/>
      <c r="U210" s="98"/>
      <c r="V210" s="98"/>
      <c r="W210" s="68" t="s">
        <v>938</v>
      </c>
      <c r="X210" s="64"/>
      <c r="AH210" s="73"/>
    </row>
    <row r="211" spans="1:34" s="73" customFormat="1" ht="18.95">
      <c r="A211" s="68" t="s">
        <v>939</v>
      </c>
      <c r="B211" s="64" t="s">
        <v>144</v>
      </c>
      <c r="C211" s="65">
        <v>5</v>
      </c>
      <c r="D211" s="65"/>
      <c r="E211" s="65"/>
      <c r="F211" s="65"/>
      <c r="G211" s="64"/>
      <c r="H211" s="64" t="s">
        <v>940</v>
      </c>
      <c r="I211" s="64"/>
      <c r="J211" s="64" t="s">
        <v>32</v>
      </c>
      <c r="K211" s="64" t="s">
        <v>33</v>
      </c>
      <c r="L211" s="64"/>
      <c r="M211" s="64"/>
      <c r="N211" s="64"/>
      <c r="O211" s="64"/>
      <c r="P211" s="64"/>
      <c r="Q211" s="280">
        <v>45684</v>
      </c>
      <c r="R211" s="280">
        <f>Q211+7</f>
        <v>45691</v>
      </c>
      <c r="S211" s="67"/>
      <c r="T211" s="67"/>
      <c r="U211" s="98"/>
      <c r="V211" s="98"/>
      <c r="W211" s="68" t="s">
        <v>941</v>
      </c>
      <c r="X211" s="64"/>
    </row>
    <row r="212" spans="1:34" s="69" customFormat="1" ht="18.95">
      <c r="A212" s="68" t="s">
        <v>942</v>
      </c>
      <c r="B212" s="64" t="s">
        <v>144</v>
      </c>
      <c r="C212" s="65">
        <v>5</v>
      </c>
      <c r="D212" s="65" t="s">
        <v>671</v>
      </c>
      <c r="E212" s="65"/>
      <c r="F212" s="65"/>
      <c r="G212" s="64"/>
      <c r="H212" s="66" t="s">
        <v>943</v>
      </c>
      <c r="I212" s="66"/>
      <c r="J212" s="64"/>
      <c r="K212" s="64" t="s">
        <v>33</v>
      </c>
      <c r="L212" s="64"/>
      <c r="M212" s="64"/>
      <c r="N212" s="64"/>
      <c r="O212" s="64"/>
      <c r="P212" s="64"/>
      <c r="Q212" s="280">
        <v>45688</v>
      </c>
      <c r="R212" s="280">
        <f>Q212+6</f>
        <v>45694</v>
      </c>
      <c r="S212" s="67"/>
      <c r="T212" s="67"/>
      <c r="U212" s="98"/>
      <c r="V212" s="98"/>
      <c r="W212" s="68" t="s">
        <v>944</v>
      </c>
      <c r="X212" s="64"/>
      <c r="AH212" s="73"/>
    </row>
    <row r="213" spans="1:34" s="69" customFormat="1" ht="18.95">
      <c r="A213" s="255" t="s">
        <v>945</v>
      </c>
      <c r="B213" s="64" t="s">
        <v>144</v>
      </c>
      <c r="C213" s="65">
        <v>5</v>
      </c>
      <c r="D213" s="65" t="s">
        <v>671</v>
      </c>
      <c r="E213" s="65"/>
      <c r="F213" s="65"/>
      <c r="G213" s="64" t="s">
        <v>550</v>
      </c>
      <c r="H213" s="71" t="s">
        <v>946</v>
      </c>
      <c r="I213" s="71"/>
      <c r="J213" s="64"/>
      <c r="K213" s="64" t="s">
        <v>33</v>
      </c>
      <c r="L213" s="64"/>
      <c r="M213" s="64"/>
      <c r="N213" s="64"/>
      <c r="O213" s="72"/>
      <c r="P213" s="72"/>
      <c r="Q213" s="280">
        <v>45688</v>
      </c>
      <c r="R213" s="280">
        <f>Q213+7</f>
        <v>45695</v>
      </c>
      <c r="S213" s="67"/>
      <c r="T213" s="67"/>
      <c r="U213" s="98"/>
      <c r="V213" s="98"/>
      <c r="W213" s="68" t="s">
        <v>947</v>
      </c>
      <c r="X213" s="64"/>
      <c r="AH213" s="73"/>
    </row>
    <row r="214" spans="1:34" s="69" customFormat="1" ht="246.95">
      <c r="A214" s="68" t="s">
        <v>948</v>
      </c>
      <c r="B214" s="64" t="s">
        <v>199</v>
      </c>
      <c r="C214" s="65">
        <v>5</v>
      </c>
      <c r="D214" s="65"/>
      <c r="E214" s="65"/>
      <c r="F214" s="65"/>
      <c r="G214" s="64"/>
      <c r="H214" s="64" t="s">
        <v>949</v>
      </c>
      <c r="I214" s="64"/>
      <c r="J214" s="64" t="s">
        <v>264</v>
      </c>
      <c r="K214" s="64" t="s">
        <v>311</v>
      </c>
      <c r="L214" s="64" t="s">
        <v>186</v>
      </c>
      <c r="M214" s="64"/>
      <c r="N214" s="64"/>
      <c r="O214" s="64"/>
      <c r="P214" s="64"/>
      <c r="Q214" s="280">
        <v>45702</v>
      </c>
      <c r="R214" s="280">
        <f>Q214+7</f>
        <v>45709</v>
      </c>
      <c r="S214" s="67"/>
      <c r="T214" s="67"/>
      <c r="U214" s="98"/>
      <c r="V214" s="98"/>
      <c r="W214" s="68" t="s">
        <v>950</v>
      </c>
      <c r="X214" s="64"/>
      <c r="AH214" s="73"/>
    </row>
    <row r="215" spans="1:34" s="69" customFormat="1" ht="38.1">
      <c r="A215" s="68" t="s">
        <v>951</v>
      </c>
      <c r="B215" s="64" t="s">
        <v>144</v>
      </c>
      <c r="C215" s="65">
        <v>5</v>
      </c>
      <c r="D215" s="65"/>
      <c r="E215" s="65"/>
      <c r="F215" s="65"/>
      <c r="G215" s="64" t="s">
        <v>952</v>
      </c>
      <c r="H215" s="64" t="s">
        <v>953</v>
      </c>
      <c r="I215" s="64"/>
      <c r="J215" s="64" t="s">
        <v>32</v>
      </c>
      <c r="K215" s="64" t="s">
        <v>33</v>
      </c>
      <c r="L215" s="64" t="s">
        <v>34</v>
      </c>
      <c r="M215" s="64" t="s">
        <v>954</v>
      </c>
      <c r="N215" s="64" t="s">
        <v>64</v>
      </c>
      <c r="O215" s="64"/>
      <c r="P215" s="64"/>
      <c r="Q215" s="280">
        <v>45684</v>
      </c>
      <c r="R215" s="280">
        <f>Q215+30</f>
        <v>45714</v>
      </c>
      <c r="S215" s="67"/>
      <c r="T215" s="67"/>
      <c r="U215" s="98"/>
      <c r="V215" s="98"/>
      <c r="W215" s="68" t="s">
        <v>955</v>
      </c>
      <c r="X215" s="64"/>
      <c r="AH215" s="73"/>
    </row>
    <row r="216" spans="1:34" s="69" customFormat="1" ht="18.95">
      <c r="A216" s="68" t="s">
        <v>956</v>
      </c>
      <c r="B216" s="64" t="s">
        <v>144</v>
      </c>
      <c r="C216" s="65">
        <v>5</v>
      </c>
      <c r="D216" s="65" t="s">
        <v>28</v>
      </c>
      <c r="E216" s="65"/>
      <c r="F216" s="65"/>
      <c r="G216" s="64" t="s">
        <v>957</v>
      </c>
      <c r="H216" s="71" t="s">
        <v>958</v>
      </c>
      <c r="I216" s="71"/>
      <c r="J216" s="64" t="s">
        <v>32</v>
      </c>
      <c r="K216" s="64" t="s">
        <v>33</v>
      </c>
      <c r="L216" s="64" t="s">
        <v>34</v>
      </c>
      <c r="M216" s="64"/>
      <c r="N216" s="64"/>
      <c r="O216" s="72"/>
      <c r="P216" s="72"/>
      <c r="Q216" s="280">
        <v>45708</v>
      </c>
      <c r="R216" s="280">
        <f t="shared" ref="R216:R222" si="1">Q216+7</f>
        <v>45715</v>
      </c>
      <c r="S216" s="67"/>
      <c r="T216" s="67"/>
      <c r="U216" s="98"/>
      <c r="V216" s="98"/>
      <c r="W216" s="68" t="s">
        <v>959</v>
      </c>
      <c r="X216" s="64"/>
      <c r="AH216" s="73"/>
    </row>
    <row r="217" spans="1:34" s="69" customFormat="1" ht="18.95">
      <c r="A217" s="68" t="s">
        <v>960</v>
      </c>
      <c r="B217" s="64" t="s">
        <v>144</v>
      </c>
      <c r="C217" s="65">
        <v>5</v>
      </c>
      <c r="D217" s="65" t="s">
        <v>671</v>
      </c>
      <c r="E217" s="65"/>
      <c r="F217" s="65"/>
      <c r="G217" s="64" t="s">
        <v>51</v>
      </c>
      <c r="H217" s="64" t="s">
        <v>961</v>
      </c>
      <c r="I217" s="64"/>
      <c r="J217" s="64" t="s">
        <v>32</v>
      </c>
      <c r="K217" s="64" t="s">
        <v>962</v>
      </c>
      <c r="L217" s="64"/>
      <c r="M217" s="64"/>
      <c r="N217" s="64"/>
      <c r="O217" s="64"/>
      <c r="P217" s="64"/>
      <c r="Q217" s="280">
        <v>45708</v>
      </c>
      <c r="R217" s="280">
        <f t="shared" si="1"/>
        <v>45715</v>
      </c>
      <c r="S217" s="75"/>
      <c r="T217" s="75"/>
      <c r="U217" s="284"/>
      <c r="V217" s="284"/>
      <c r="W217" s="68" t="s">
        <v>963</v>
      </c>
      <c r="X217" s="64"/>
      <c r="AH217" s="73"/>
    </row>
    <row r="218" spans="1:34" ht="95.1" customHeight="1">
      <c r="A218" s="68" t="s">
        <v>964</v>
      </c>
      <c r="B218" s="64" t="s">
        <v>104</v>
      </c>
      <c r="C218" s="65">
        <v>5</v>
      </c>
      <c r="D218" s="65" t="s">
        <v>50</v>
      </c>
      <c r="E218" s="65"/>
      <c r="F218" s="65"/>
      <c r="G218" s="64" t="s">
        <v>454</v>
      </c>
      <c r="H218" s="71" t="s">
        <v>965</v>
      </c>
      <c r="I218" s="71"/>
      <c r="J218" s="64" t="s">
        <v>32</v>
      </c>
      <c r="K218" s="64" t="s">
        <v>33</v>
      </c>
      <c r="L218" s="64" t="s">
        <v>966</v>
      </c>
      <c r="M218" s="64"/>
      <c r="N218" s="64"/>
      <c r="O218" s="72"/>
      <c r="P218" s="72"/>
      <c r="Q218" s="280">
        <v>45708</v>
      </c>
      <c r="R218" s="280">
        <f t="shared" si="1"/>
        <v>45715</v>
      </c>
      <c r="S218" s="67"/>
      <c r="T218" s="67"/>
      <c r="U218" s="98"/>
      <c r="V218" s="98"/>
      <c r="W218" s="68" t="s">
        <v>967</v>
      </c>
      <c r="X218" s="64"/>
      <c r="AH218" s="81"/>
    </row>
    <row r="219" spans="1:34" ht="24" customHeight="1">
      <c r="A219" s="68" t="s">
        <v>968</v>
      </c>
      <c r="B219" s="64" t="s">
        <v>104</v>
      </c>
      <c r="C219" s="65">
        <v>5</v>
      </c>
      <c r="D219" s="65" t="s">
        <v>421</v>
      </c>
      <c r="E219" s="65"/>
      <c r="F219" s="65"/>
      <c r="G219" s="64" t="s">
        <v>90</v>
      </c>
      <c r="H219" s="71" t="s">
        <v>969</v>
      </c>
      <c r="I219" s="71"/>
      <c r="J219" s="64" t="s">
        <v>32</v>
      </c>
      <c r="K219" s="64" t="s">
        <v>33</v>
      </c>
      <c r="L219" s="64" t="s">
        <v>970</v>
      </c>
      <c r="M219" s="64"/>
      <c r="N219" s="64"/>
      <c r="O219" s="72"/>
      <c r="P219" s="72"/>
      <c r="Q219" s="280">
        <v>45708</v>
      </c>
      <c r="R219" s="280">
        <f t="shared" si="1"/>
        <v>45715</v>
      </c>
      <c r="S219" s="67"/>
      <c r="T219" s="67"/>
      <c r="U219" s="98"/>
      <c r="V219" s="98"/>
      <c r="W219" s="68" t="s">
        <v>971</v>
      </c>
      <c r="X219" s="64"/>
      <c r="AH219" s="81"/>
    </row>
    <row r="220" spans="1:34" s="69" customFormat="1" ht="18.95">
      <c r="A220" s="68" t="s">
        <v>972</v>
      </c>
      <c r="B220" s="64" t="s">
        <v>104</v>
      </c>
      <c r="C220" s="65">
        <v>5</v>
      </c>
      <c r="D220" s="65" t="s">
        <v>28</v>
      </c>
      <c r="E220" s="65"/>
      <c r="F220" s="65"/>
      <c r="G220" s="64"/>
      <c r="H220" s="71" t="s">
        <v>973</v>
      </c>
      <c r="I220" s="71"/>
      <c r="J220" s="64" t="s">
        <v>32</v>
      </c>
      <c r="K220" s="64" t="s">
        <v>33</v>
      </c>
      <c r="L220" s="64" t="s">
        <v>407</v>
      </c>
      <c r="M220" s="64"/>
      <c r="N220" s="64"/>
      <c r="O220" s="72"/>
      <c r="P220" s="72"/>
      <c r="Q220" s="280">
        <v>45708</v>
      </c>
      <c r="R220" s="280">
        <f t="shared" si="1"/>
        <v>45715</v>
      </c>
      <c r="S220" s="67"/>
      <c r="T220" s="67"/>
      <c r="U220" s="98"/>
      <c r="V220" s="98"/>
      <c r="W220" s="68" t="s">
        <v>974</v>
      </c>
      <c r="X220" s="64"/>
      <c r="AH220" s="73"/>
    </row>
    <row r="221" spans="1:34" ht="398.1">
      <c r="A221" s="68" t="s">
        <v>975</v>
      </c>
      <c r="B221" s="64" t="s">
        <v>199</v>
      </c>
      <c r="C221" s="65">
        <v>5</v>
      </c>
      <c r="D221" s="65"/>
      <c r="E221" s="65"/>
      <c r="F221" s="65"/>
      <c r="G221" s="64" t="s">
        <v>976</v>
      </c>
      <c r="H221" s="64" t="s">
        <v>977</v>
      </c>
      <c r="I221" s="64"/>
      <c r="J221" s="64" t="s">
        <v>169</v>
      </c>
      <c r="K221" s="64" t="s">
        <v>33</v>
      </c>
      <c r="L221" s="64" t="s">
        <v>80</v>
      </c>
      <c r="M221" s="64" t="s">
        <v>35</v>
      </c>
      <c r="N221" s="64" t="s">
        <v>64</v>
      </c>
      <c r="O221" s="64"/>
      <c r="P221" s="64"/>
      <c r="Q221" s="280">
        <v>45709</v>
      </c>
      <c r="R221" s="280">
        <f t="shared" si="1"/>
        <v>45716</v>
      </c>
      <c r="S221" s="67"/>
      <c r="T221" s="67"/>
      <c r="U221" s="98"/>
      <c r="V221" s="98"/>
      <c r="W221" s="68" t="s">
        <v>978</v>
      </c>
      <c r="X221" s="64"/>
      <c r="AH221" s="81"/>
    </row>
    <row r="222" spans="1:34" s="69" customFormat="1" ht="18.95">
      <c r="A222" s="68" t="s">
        <v>979</v>
      </c>
      <c r="B222" s="64" t="s">
        <v>144</v>
      </c>
      <c r="C222" s="65">
        <v>5</v>
      </c>
      <c r="D222" s="65" t="s">
        <v>421</v>
      </c>
      <c r="E222" s="65"/>
      <c r="F222" s="65"/>
      <c r="G222" s="64"/>
      <c r="H222" s="64" t="s">
        <v>980</v>
      </c>
      <c r="I222" s="64"/>
      <c r="J222" s="64"/>
      <c r="K222" s="64" t="s">
        <v>33</v>
      </c>
      <c r="L222" s="64"/>
      <c r="M222" s="64"/>
      <c r="N222" s="64"/>
      <c r="O222" s="64"/>
      <c r="P222" s="64"/>
      <c r="Q222" s="280">
        <v>45709</v>
      </c>
      <c r="R222" s="280">
        <f t="shared" si="1"/>
        <v>45716</v>
      </c>
      <c r="S222" s="75"/>
      <c r="T222" s="75"/>
      <c r="U222" s="284"/>
      <c r="V222" s="284"/>
      <c r="W222" s="68" t="s">
        <v>981</v>
      </c>
      <c r="X222" s="64"/>
      <c r="AH222" s="73"/>
    </row>
    <row r="223" spans="1:34" s="69" customFormat="1" ht="18.95">
      <c r="A223" s="252" t="s">
        <v>982</v>
      </c>
      <c r="B223" s="64" t="s">
        <v>144</v>
      </c>
      <c r="C223" s="65">
        <v>5</v>
      </c>
      <c r="D223" s="65" t="s">
        <v>421</v>
      </c>
      <c r="E223" s="65"/>
      <c r="F223" s="65"/>
      <c r="G223" s="64"/>
      <c r="H223" s="64" t="s">
        <v>983</v>
      </c>
      <c r="I223" s="64"/>
      <c r="J223" s="64" t="s">
        <v>32</v>
      </c>
      <c r="K223" s="64" t="s">
        <v>984</v>
      </c>
      <c r="L223" s="64"/>
      <c r="M223" s="64"/>
      <c r="N223" s="64"/>
      <c r="O223" s="64"/>
      <c r="P223" s="64"/>
      <c r="Q223" s="280">
        <v>45707</v>
      </c>
      <c r="R223" s="280">
        <f>Q223+10</f>
        <v>45717</v>
      </c>
      <c r="S223" s="67"/>
      <c r="T223" s="67"/>
      <c r="U223" s="98"/>
      <c r="V223" s="98"/>
      <c r="W223" s="68" t="s">
        <v>985</v>
      </c>
      <c r="X223" s="64"/>
      <c r="AH223" s="73"/>
    </row>
    <row r="224" spans="1:34" s="69" customFormat="1" ht="38.1">
      <c r="A224" s="68" t="s">
        <v>986</v>
      </c>
      <c r="B224" s="78" t="s">
        <v>144</v>
      </c>
      <c r="C224" s="65">
        <v>5</v>
      </c>
      <c r="D224" s="65"/>
      <c r="E224" s="65"/>
      <c r="F224" s="65" t="s">
        <v>416</v>
      </c>
      <c r="G224" s="64"/>
      <c r="H224" s="64" t="s">
        <v>987</v>
      </c>
      <c r="I224" s="64"/>
      <c r="J224" s="64" t="s">
        <v>32</v>
      </c>
      <c r="K224" s="64" t="s">
        <v>33</v>
      </c>
      <c r="L224" s="64" t="s">
        <v>46</v>
      </c>
      <c r="M224" s="64"/>
      <c r="N224" s="64" t="s">
        <v>64</v>
      </c>
      <c r="O224" s="64"/>
      <c r="P224" s="64"/>
      <c r="Q224" s="280">
        <v>45716</v>
      </c>
      <c r="R224" s="280">
        <f>Q224+7</f>
        <v>45723</v>
      </c>
      <c r="S224" s="67"/>
      <c r="T224" s="67"/>
      <c r="U224" s="98"/>
      <c r="V224" s="98"/>
      <c r="W224" s="68" t="s">
        <v>988</v>
      </c>
      <c r="X224" s="64"/>
      <c r="AH224" s="73"/>
    </row>
    <row r="225" spans="1:34" s="69" customFormat="1" ht="18.95">
      <c r="A225" s="68" t="s">
        <v>989</v>
      </c>
      <c r="B225" s="64" t="s">
        <v>144</v>
      </c>
      <c r="C225" s="65">
        <v>5</v>
      </c>
      <c r="D225" s="65"/>
      <c r="E225" s="65" t="s">
        <v>990</v>
      </c>
      <c r="F225" s="65"/>
      <c r="G225" s="64"/>
      <c r="H225" s="64" t="s">
        <v>991</v>
      </c>
      <c r="I225" s="64"/>
      <c r="J225" s="64" t="s">
        <v>32</v>
      </c>
      <c r="K225" s="64" t="s">
        <v>33</v>
      </c>
      <c r="L225" s="64"/>
      <c r="M225" s="64"/>
      <c r="N225" s="64"/>
      <c r="O225" s="64"/>
      <c r="P225" s="64"/>
      <c r="Q225" s="280">
        <v>45719</v>
      </c>
      <c r="R225" s="280">
        <f>Q225+5</f>
        <v>45724</v>
      </c>
      <c r="S225" s="75"/>
      <c r="T225" s="75"/>
      <c r="U225" s="284"/>
      <c r="V225" s="284"/>
      <c r="W225" s="68" t="s">
        <v>992</v>
      </c>
      <c r="X225" s="64"/>
      <c r="AH225" s="73"/>
    </row>
    <row r="226" spans="1:34" s="69" customFormat="1" ht="18.95">
      <c r="A226" s="68" t="s">
        <v>993</v>
      </c>
      <c r="B226" s="64" t="s">
        <v>144</v>
      </c>
      <c r="C226" s="65">
        <v>5</v>
      </c>
      <c r="D226" s="65"/>
      <c r="E226" s="65"/>
      <c r="F226" s="65"/>
      <c r="G226" s="64" t="s">
        <v>131</v>
      </c>
      <c r="H226" s="64" t="s">
        <v>994</v>
      </c>
      <c r="I226" s="64"/>
      <c r="J226" s="64" t="s">
        <v>32</v>
      </c>
      <c r="K226" s="64" t="s">
        <v>33</v>
      </c>
      <c r="L226" s="64" t="s">
        <v>34</v>
      </c>
      <c r="M226" s="64" t="s">
        <v>134</v>
      </c>
      <c r="N226" s="64" t="s">
        <v>64</v>
      </c>
      <c r="O226" s="64"/>
      <c r="P226" s="64"/>
      <c r="Q226" s="280">
        <v>45716</v>
      </c>
      <c r="R226" s="280">
        <f>Q226+10</f>
        <v>45726</v>
      </c>
      <c r="S226" s="67"/>
      <c r="T226" s="67"/>
      <c r="U226" s="98"/>
      <c r="V226" s="98"/>
      <c r="W226" s="68" t="s">
        <v>995</v>
      </c>
      <c r="X226" s="64"/>
      <c r="AH226" s="73"/>
    </row>
    <row r="227" spans="1:34" s="69" customFormat="1" ht="18.95">
      <c r="A227" s="68" t="s">
        <v>996</v>
      </c>
      <c r="B227" s="64" t="s">
        <v>104</v>
      </c>
      <c r="C227" s="65">
        <v>5</v>
      </c>
      <c r="D227" s="65"/>
      <c r="E227" s="65"/>
      <c r="F227" s="65"/>
      <c r="G227" s="64" t="s">
        <v>550</v>
      </c>
      <c r="H227" s="64" t="s">
        <v>803</v>
      </c>
      <c r="I227" s="64"/>
      <c r="J227" s="64" t="s">
        <v>32</v>
      </c>
      <c r="K227" s="64" t="s">
        <v>33</v>
      </c>
      <c r="L227" s="64" t="s">
        <v>34</v>
      </c>
      <c r="M227" s="64" t="s">
        <v>997</v>
      </c>
      <c r="N227" s="64" t="s">
        <v>64</v>
      </c>
      <c r="O227" s="64"/>
      <c r="P227" s="64"/>
      <c r="Q227" s="280">
        <v>45716</v>
      </c>
      <c r="R227" s="280">
        <f>Q227+10</f>
        <v>45726</v>
      </c>
      <c r="S227" s="67"/>
      <c r="T227" s="67"/>
      <c r="U227" s="98"/>
      <c r="V227" s="98"/>
      <c r="W227" s="68" t="s">
        <v>998</v>
      </c>
      <c r="X227" s="64"/>
      <c r="AH227" s="73"/>
    </row>
    <row r="228" spans="1:34" s="69" customFormat="1" ht="18.95">
      <c r="A228" s="68" t="s">
        <v>999</v>
      </c>
      <c r="B228" s="64" t="s">
        <v>144</v>
      </c>
      <c r="C228" s="65">
        <v>5</v>
      </c>
      <c r="D228" s="65"/>
      <c r="E228" s="65"/>
      <c r="F228" s="65"/>
      <c r="G228" s="64"/>
      <c r="H228" s="66" t="s">
        <v>1000</v>
      </c>
      <c r="I228" s="66"/>
      <c r="J228" s="64" t="s">
        <v>32</v>
      </c>
      <c r="K228" s="64" t="s">
        <v>33</v>
      </c>
      <c r="L228" s="64"/>
      <c r="M228" s="64"/>
      <c r="N228" s="64"/>
      <c r="O228" s="64"/>
      <c r="P228" s="64"/>
      <c r="Q228" s="280">
        <v>45719</v>
      </c>
      <c r="R228" s="280">
        <f>Q228+7</f>
        <v>45726</v>
      </c>
      <c r="S228" s="67"/>
      <c r="T228" s="67"/>
      <c r="U228" s="98"/>
      <c r="V228" s="98"/>
      <c r="W228" s="68" t="s">
        <v>1001</v>
      </c>
      <c r="X228" s="64"/>
      <c r="AH228" s="73"/>
    </row>
    <row r="229" spans="1:34" s="69" customFormat="1" ht="38.1">
      <c r="A229" s="68" t="s">
        <v>1002</v>
      </c>
      <c r="B229" s="78" t="s">
        <v>144</v>
      </c>
      <c r="C229" s="65">
        <v>5</v>
      </c>
      <c r="D229" s="65"/>
      <c r="E229" s="65"/>
      <c r="F229" s="65" t="s">
        <v>416</v>
      </c>
      <c r="G229" s="64" t="s">
        <v>1003</v>
      </c>
      <c r="H229" s="64" t="s">
        <v>1004</v>
      </c>
      <c r="I229" s="64"/>
      <c r="J229" s="64" t="s">
        <v>32</v>
      </c>
      <c r="K229" s="64" t="s">
        <v>499</v>
      </c>
      <c r="L229" s="64" t="s">
        <v>46</v>
      </c>
      <c r="M229" s="64"/>
      <c r="N229" s="64" t="s">
        <v>64</v>
      </c>
      <c r="O229" s="64"/>
      <c r="P229" s="64"/>
      <c r="Q229" s="280">
        <v>45721</v>
      </c>
      <c r="R229" s="280">
        <f>Q229+7</f>
        <v>45728</v>
      </c>
      <c r="S229" s="67"/>
      <c r="T229" s="67"/>
      <c r="U229" s="98"/>
      <c r="V229" s="98"/>
      <c r="W229" s="68" t="s">
        <v>1005</v>
      </c>
      <c r="X229" s="64"/>
      <c r="AH229" s="73"/>
    </row>
    <row r="230" spans="1:34" s="69" customFormat="1" ht="18.95">
      <c r="A230" s="68" t="s">
        <v>1006</v>
      </c>
      <c r="B230" s="78" t="s">
        <v>144</v>
      </c>
      <c r="C230" s="65">
        <v>5</v>
      </c>
      <c r="D230" s="65"/>
      <c r="E230" s="65"/>
      <c r="F230" s="65" t="s">
        <v>416</v>
      </c>
      <c r="G230" s="64"/>
      <c r="H230" s="64" t="s">
        <v>847</v>
      </c>
      <c r="I230" s="64"/>
      <c r="J230" s="64" t="s">
        <v>32</v>
      </c>
      <c r="K230" s="64" t="s">
        <v>33</v>
      </c>
      <c r="L230" s="64" t="s">
        <v>46</v>
      </c>
      <c r="M230" s="64"/>
      <c r="N230" s="64"/>
      <c r="O230" s="64"/>
      <c r="P230" s="64"/>
      <c r="Q230" s="280">
        <v>45721</v>
      </c>
      <c r="R230" s="280">
        <f>Q230+10</f>
        <v>45731</v>
      </c>
      <c r="S230" s="67"/>
      <c r="T230" s="67"/>
      <c r="U230" s="98"/>
      <c r="V230" s="98"/>
      <c r="W230" s="68" t="s">
        <v>1007</v>
      </c>
      <c r="X230" s="64"/>
      <c r="AH230" s="73"/>
    </row>
    <row r="231" spans="1:34" s="69" customFormat="1" ht="38.1">
      <c r="A231" s="68" t="s">
        <v>1008</v>
      </c>
      <c r="B231" s="64" t="s">
        <v>144</v>
      </c>
      <c r="C231" s="65">
        <v>5</v>
      </c>
      <c r="D231" s="65"/>
      <c r="E231" s="65"/>
      <c r="F231" s="65"/>
      <c r="G231" s="64"/>
      <c r="H231" s="66" t="s">
        <v>1009</v>
      </c>
      <c r="I231" s="66"/>
      <c r="J231" s="64" t="s">
        <v>32</v>
      </c>
      <c r="K231" s="64" t="s">
        <v>33</v>
      </c>
      <c r="L231" s="64" t="s">
        <v>186</v>
      </c>
      <c r="M231" s="64" t="s">
        <v>1010</v>
      </c>
      <c r="N231" s="64" t="s">
        <v>64</v>
      </c>
      <c r="O231" s="64"/>
      <c r="P231" s="64"/>
      <c r="Q231" s="280">
        <v>45721</v>
      </c>
      <c r="R231" s="280">
        <f>Q231+14</f>
        <v>45735</v>
      </c>
      <c r="S231" s="67"/>
      <c r="T231" s="67"/>
      <c r="U231" s="98"/>
      <c r="V231" s="98"/>
      <c r="W231" s="68" t="s">
        <v>1011</v>
      </c>
      <c r="X231" s="64"/>
      <c r="AH231" s="73"/>
    </row>
    <row r="232" spans="1:34" ht="18.95" customHeight="1">
      <c r="A232" s="68" t="s">
        <v>1012</v>
      </c>
      <c r="B232" s="64" t="s">
        <v>137</v>
      </c>
      <c r="C232" s="65">
        <v>5</v>
      </c>
      <c r="D232" s="65"/>
      <c r="E232" s="65"/>
      <c r="F232" s="65"/>
      <c r="G232" s="64" t="s">
        <v>90</v>
      </c>
      <c r="H232" s="66" t="s">
        <v>1013</v>
      </c>
      <c r="I232" s="66"/>
      <c r="J232" s="64"/>
      <c r="K232" s="64" t="s">
        <v>33</v>
      </c>
      <c r="L232" s="64"/>
      <c r="M232" s="64"/>
      <c r="N232" s="64"/>
      <c r="O232" s="64"/>
      <c r="P232" s="64"/>
      <c r="Q232" s="280">
        <v>45705</v>
      </c>
      <c r="R232" s="280">
        <f>Q232+30</f>
        <v>45735</v>
      </c>
      <c r="S232" s="67"/>
      <c r="T232" s="67"/>
      <c r="U232" s="98"/>
      <c r="V232" s="98"/>
      <c r="W232" s="68" t="s">
        <v>1014</v>
      </c>
      <c r="X232" s="64"/>
      <c r="AH232" s="81"/>
    </row>
    <row r="233" spans="1:34" ht="144" customHeight="1">
      <c r="A233" s="77" t="s">
        <v>1015</v>
      </c>
      <c r="B233" s="64" t="s">
        <v>144</v>
      </c>
      <c r="C233" s="65">
        <v>5</v>
      </c>
      <c r="D233" s="65"/>
      <c r="E233" s="65"/>
      <c r="F233" s="65"/>
      <c r="G233" s="64"/>
      <c r="H233" s="64" t="s">
        <v>1016</v>
      </c>
      <c r="I233" s="64"/>
      <c r="J233" s="64" t="s">
        <v>77</v>
      </c>
      <c r="K233" s="64" t="s">
        <v>33</v>
      </c>
      <c r="L233" s="79" t="s">
        <v>1017</v>
      </c>
      <c r="M233" s="79"/>
      <c r="N233" s="79" t="s">
        <v>36</v>
      </c>
      <c r="O233" s="79"/>
      <c r="P233" s="79"/>
      <c r="Q233" s="280">
        <v>45725</v>
      </c>
      <c r="R233" s="280">
        <f>Q233+14</f>
        <v>45739</v>
      </c>
      <c r="S233" s="67"/>
      <c r="T233" s="67"/>
      <c r="U233" s="98"/>
      <c r="V233" s="98"/>
      <c r="W233" s="68" t="s">
        <v>1018</v>
      </c>
      <c r="X233" s="64"/>
      <c r="AH233" s="81"/>
    </row>
    <row r="234" spans="1:34" ht="18" customHeight="1">
      <c r="A234" s="252" t="s">
        <v>1019</v>
      </c>
      <c r="B234" s="64" t="s">
        <v>144</v>
      </c>
      <c r="C234" s="65">
        <v>5</v>
      </c>
      <c r="D234" s="65"/>
      <c r="E234" s="65"/>
      <c r="F234" s="65"/>
      <c r="G234" s="64" t="s">
        <v>1020</v>
      </c>
      <c r="H234" s="64" t="s">
        <v>1021</v>
      </c>
      <c r="I234" s="64"/>
      <c r="J234" s="64" t="s">
        <v>32</v>
      </c>
      <c r="K234" s="64" t="s">
        <v>33</v>
      </c>
      <c r="L234" s="64"/>
      <c r="M234" s="64"/>
      <c r="N234" s="64"/>
      <c r="O234" s="64"/>
      <c r="P234" s="64"/>
      <c r="Q234" s="280">
        <v>45733</v>
      </c>
      <c r="R234" s="280">
        <v>45740</v>
      </c>
      <c r="S234" s="80"/>
      <c r="T234" s="80"/>
      <c r="U234" s="288"/>
      <c r="V234" s="288"/>
      <c r="W234" s="94" t="s">
        <v>1022</v>
      </c>
      <c r="X234" s="64"/>
      <c r="AH234" s="81"/>
    </row>
    <row r="235" spans="1:34" ht="48" customHeight="1">
      <c r="A235" s="252" t="s">
        <v>1023</v>
      </c>
      <c r="B235" s="64" t="s">
        <v>144</v>
      </c>
      <c r="C235" s="65">
        <v>5</v>
      </c>
      <c r="D235" s="65"/>
      <c r="E235" s="65"/>
      <c r="F235" s="65"/>
      <c r="G235" s="64" t="s">
        <v>1024</v>
      </c>
      <c r="H235" s="64" t="s">
        <v>1025</v>
      </c>
      <c r="I235" s="64"/>
      <c r="J235" s="64" t="s">
        <v>32</v>
      </c>
      <c r="K235" s="64" t="s">
        <v>33</v>
      </c>
      <c r="L235" s="64"/>
      <c r="M235" s="64"/>
      <c r="N235" s="64"/>
      <c r="O235" s="64"/>
      <c r="P235" s="64"/>
      <c r="Q235" s="280">
        <v>45733</v>
      </c>
      <c r="R235" s="280">
        <v>45740</v>
      </c>
      <c r="S235" s="80"/>
      <c r="T235" s="80"/>
      <c r="U235" s="288"/>
      <c r="V235" s="288"/>
      <c r="W235" s="94" t="s">
        <v>1022</v>
      </c>
      <c r="X235" s="64"/>
      <c r="AH235" s="81"/>
    </row>
    <row r="236" spans="1:34" ht="48" customHeight="1">
      <c r="A236" s="252" t="s">
        <v>1026</v>
      </c>
      <c r="B236" s="64" t="s">
        <v>144</v>
      </c>
      <c r="C236" s="65">
        <v>5</v>
      </c>
      <c r="D236" s="65"/>
      <c r="E236" s="65"/>
      <c r="F236" s="65"/>
      <c r="G236" s="64" t="s">
        <v>1027</v>
      </c>
      <c r="H236" s="64" t="s">
        <v>1028</v>
      </c>
      <c r="I236" s="64"/>
      <c r="J236" s="64" t="s">
        <v>32</v>
      </c>
      <c r="K236" s="64" t="s">
        <v>33</v>
      </c>
      <c r="L236" s="64"/>
      <c r="M236" s="64"/>
      <c r="N236" s="64"/>
      <c r="O236" s="64"/>
      <c r="P236" s="64"/>
      <c r="Q236" s="280">
        <v>45733</v>
      </c>
      <c r="R236" s="280">
        <v>45740</v>
      </c>
      <c r="S236" s="80"/>
      <c r="T236" s="80"/>
      <c r="U236" s="288"/>
      <c r="V236" s="288"/>
      <c r="W236" s="94" t="s">
        <v>1022</v>
      </c>
      <c r="X236" s="64"/>
      <c r="AH236" s="81"/>
    </row>
    <row r="237" spans="1:34" ht="48" customHeight="1">
      <c r="A237" s="252" t="s">
        <v>1029</v>
      </c>
      <c r="B237" s="64" t="s">
        <v>144</v>
      </c>
      <c r="C237" s="65">
        <v>5</v>
      </c>
      <c r="D237" s="65"/>
      <c r="E237" s="65"/>
      <c r="F237" s="65"/>
      <c r="G237" s="64" t="s">
        <v>323</v>
      </c>
      <c r="H237" s="64" t="s">
        <v>1030</v>
      </c>
      <c r="I237" s="64"/>
      <c r="J237" s="64" t="s">
        <v>32</v>
      </c>
      <c r="K237" s="64" t="s">
        <v>33</v>
      </c>
      <c r="L237" s="64"/>
      <c r="M237" s="64"/>
      <c r="N237" s="64"/>
      <c r="O237" s="64"/>
      <c r="P237" s="64"/>
      <c r="Q237" s="280">
        <v>45733</v>
      </c>
      <c r="R237" s="280">
        <v>45740</v>
      </c>
      <c r="S237" s="80"/>
      <c r="T237" s="80"/>
      <c r="U237" s="288"/>
      <c r="V237" s="288"/>
      <c r="W237" s="94" t="s">
        <v>1022</v>
      </c>
      <c r="X237" s="64"/>
      <c r="AH237" s="81"/>
    </row>
    <row r="238" spans="1:34" ht="95.1" customHeight="1">
      <c r="A238" s="252" t="s">
        <v>1031</v>
      </c>
      <c r="B238" s="64" t="s">
        <v>144</v>
      </c>
      <c r="C238" s="65">
        <v>5</v>
      </c>
      <c r="D238" s="65"/>
      <c r="E238" s="65"/>
      <c r="F238" s="65"/>
      <c r="G238" s="64" t="s">
        <v>1032</v>
      </c>
      <c r="H238" s="64" t="s">
        <v>695</v>
      </c>
      <c r="I238" s="64"/>
      <c r="J238" s="64" t="s">
        <v>32</v>
      </c>
      <c r="K238" s="64" t="s">
        <v>33</v>
      </c>
      <c r="L238" s="64"/>
      <c r="M238" s="64"/>
      <c r="N238" s="64"/>
      <c r="O238" s="64"/>
      <c r="P238" s="64"/>
      <c r="Q238" s="280">
        <v>45733</v>
      </c>
      <c r="R238" s="280">
        <v>45740</v>
      </c>
      <c r="S238" s="80"/>
      <c r="T238" s="80"/>
      <c r="U238" s="288"/>
      <c r="V238" s="288"/>
      <c r="W238" s="94" t="s">
        <v>1022</v>
      </c>
      <c r="X238" s="64"/>
      <c r="AH238" s="81"/>
    </row>
    <row r="239" spans="1:34" ht="18" customHeight="1">
      <c r="A239" s="252" t="s">
        <v>1033</v>
      </c>
      <c r="B239" s="64" t="s">
        <v>144</v>
      </c>
      <c r="C239" s="65">
        <v>5</v>
      </c>
      <c r="D239" s="65"/>
      <c r="E239" s="65"/>
      <c r="F239" s="65"/>
      <c r="G239" s="64" t="s">
        <v>821</v>
      </c>
      <c r="H239" s="64" t="s">
        <v>1034</v>
      </c>
      <c r="I239" s="64"/>
      <c r="J239" s="64" t="s">
        <v>32</v>
      </c>
      <c r="K239" s="64" t="s">
        <v>33</v>
      </c>
      <c r="L239" s="64"/>
      <c r="M239" s="64"/>
      <c r="N239" s="64"/>
      <c r="O239" s="64"/>
      <c r="P239" s="64"/>
      <c r="Q239" s="280">
        <v>45733</v>
      </c>
      <c r="R239" s="280">
        <v>45740</v>
      </c>
      <c r="S239" s="80"/>
      <c r="T239" s="80"/>
      <c r="U239" s="288"/>
      <c r="V239" s="288"/>
      <c r="W239" s="94" t="s">
        <v>1022</v>
      </c>
      <c r="X239" s="64"/>
      <c r="AH239" s="81"/>
    </row>
    <row r="240" spans="1:34" s="69" customFormat="1" ht="18.95">
      <c r="A240" s="252" t="s">
        <v>1035</v>
      </c>
      <c r="B240" s="64" t="s">
        <v>144</v>
      </c>
      <c r="C240" s="65">
        <v>5</v>
      </c>
      <c r="D240" s="65"/>
      <c r="E240" s="65"/>
      <c r="F240" s="65"/>
      <c r="G240" s="64" t="s">
        <v>1036</v>
      </c>
      <c r="H240" s="64" t="s">
        <v>1037</v>
      </c>
      <c r="I240" s="64"/>
      <c r="J240" s="64" t="s">
        <v>32</v>
      </c>
      <c r="K240" s="64" t="s">
        <v>33</v>
      </c>
      <c r="L240" s="64"/>
      <c r="M240" s="64"/>
      <c r="N240" s="64"/>
      <c r="O240" s="64"/>
      <c r="P240" s="64"/>
      <c r="Q240" s="280">
        <v>45733</v>
      </c>
      <c r="R240" s="280">
        <f>Q240+7</f>
        <v>45740</v>
      </c>
      <c r="S240" s="67"/>
      <c r="T240" s="67"/>
      <c r="U240" s="98"/>
      <c r="V240" s="98"/>
      <c r="W240" s="68" t="s">
        <v>1022</v>
      </c>
      <c r="X240" s="64"/>
      <c r="AH240" s="73"/>
    </row>
    <row r="241" spans="1:34" s="69" customFormat="1" ht="18.95">
      <c r="A241" s="252" t="s">
        <v>1038</v>
      </c>
      <c r="B241" s="64" t="s">
        <v>144</v>
      </c>
      <c r="C241" s="65">
        <v>5</v>
      </c>
      <c r="D241" s="65"/>
      <c r="E241" s="65"/>
      <c r="F241" s="65"/>
      <c r="G241" s="64" t="s">
        <v>1039</v>
      </c>
      <c r="H241" s="64" t="s">
        <v>1037</v>
      </c>
      <c r="I241" s="64"/>
      <c r="J241" s="64" t="s">
        <v>32</v>
      </c>
      <c r="K241" s="64" t="s">
        <v>33</v>
      </c>
      <c r="L241" s="64"/>
      <c r="M241" s="64"/>
      <c r="N241" s="64"/>
      <c r="O241" s="64"/>
      <c r="P241" s="64"/>
      <c r="Q241" s="280">
        <v>45733</v>
      </c>
      <c r="R241" s="280">
        <v>45740</v>
      </c>
      <c r="S241" s="80"/>
      <c r="T241" s="80"/>
      <c r="U241" s="288"/>
      <c r="V241" s="288"/>
      <c r="W241" s="94" t="s">
        <v>1022</v>
      </c>
      <c r="X241" s="64"/>
      <c r="AH241" s="73"/>
    </row>
    <row r="242" spans="1:34" s="69" customFormat="1" ht="18.95">
      <c r="A242" s="252" t="s">
        <v>1040</v>
      </c>
      <c r="B242" s="64" t="s">
        <v>144</v>
      </c>
      <c r="C242" s="65">
        <v>5</v>
      </c>
      <c r="D242" s="65"/>
      <c r="E242" s="65"/>
      <c r="F242" s="65"/>
      <c r="G242" s="64" t="s">
        <v>1041</v>
      </c>
      <c r="H242" s="64" t="s">
        <v>1042</v>
      </c>
      <c r="I242" s="64"/>
      <c r="J242" s="64" t="s">
        <v>32</v>
      </c>
      <c r="K242" s="64" t="s">
        <v>33</v>
      </c>
      <c r="L242" s="64"/>
      <c r="M242" s="64"/>
      <c r="N242" s="64"/>
      <c r="O242" s="64"/>
      <c r="P242" s="64"/>
      <c r="Q242" s="280">
        <v>45733</v>
      </c>
      <c r="R242" s="280">
        <v>45740</v>
      </c>
      <c r="S242" s="67"/>
      <c r="T242" s="67"/>
      <c r="U242" s="98"/>
      <c r="V242" s="98"/>
      <c r="W242" s="68" t="s">
        <v>1043</v>
      </c>
      <c r="X242" s="64"/>
      <c r="AH242" s="73"/>
    </row>
    <row r="243" spans="1:34" s="69" customFormat="1" ht="18.95">
      <c r="A243" s="252" t="s">
        <v>1044</v>
      </c>
      <c r="B243" s="64" t="s">
        <v>144</v>
      </c>
      <c r="C243" s="65">
        <v>5</v>
      </c>
      <c r="D243" s="65"/>
      <c r="E243" s="65" t="s">
        <v>990</v>
      </c>
      <c r="F243" s="65"/>
      <c r="G243" s="64" t="s">
        <v>1045</v>
      </c>
      <c r="H243" s="64" t="s">
        <v>991</v>
      </c>
      <c r="I243" s="64"/>
      <c r="J243" s="64" t="s">
        <v>32</v>
      </c>
      <c r="K243" s="64" t="s">
        <v>33</v>
      </c>
      <c r="L243" s="64"/>
      <c r="M243" s="64"/>
      <c r="N243" s="64"/>
      <c r="O243" s="64"/>
      <c r="P243" s="64"/>
      <c r="Q243" s="280">
        <v>45733</v>
      </c>
      <c r="R243" s="280">
        <v>45740</v>
      </c>
      <c r="S243" s="80"/>
      <c r="T243" s="80"/>
      <c r="U243" s="288"/>
      <c r="V243" s="288"/>
      <c r="W243" s="94" t="s">
        <v>1022</v>
      </c>
      <c r="X243" s="64"/>
      <c r="AH243" s="73"/>
    </row>
    <row r="244" spans="1:34" s="69" customFormat="1" ht="18.95">
      <c r="A244" s="252" t="s">
        <v>1046</v>
      </c>
      <c r="B244" s="64" t="s">
        <v>144</v>
      </c>
      <c r="C244" s="65">
        <v>5</v>
      </c>
      <c r="D244" s="65"/>
      <c r="E244" s="65"/>
      <c r="F244" s="65"/>
      <c r="G244" s="64" t="s">
        <v>454</v>
      </c>
      <c r="H244" s="64" t="s">
        <v>1047</v>
      </c>
      <c r="I244" s="64"/>
      <c r="J244" s="64" t="s">
        <v>32</v>
      </c>
      <c r="K244" s="64" t="s">
        <v>33</v>
      </c>
      <c r="L244" s="64"/>
      <c r="M244" s="64"/>
      <c r="N244" s="64"/>
      <c r="O244" s="64"/>
      <c r="P244" s="64" t="s">
        <v>462</v>
      </c>
      <c r="Q244" s="280">
        <v>45733</v>
      </c>
      <c r="R244" s="280">
        <v>45740</v>
      </c>
      <c r="S244" s="80"/>
      <c r="T244" s="80"/>
      <c r="U244" s="288"/>
      <c r="V244" s="288"/>
      <c r="W244" s="94" t="s">
        <v>1022</v>
      </c>
      <c r="X244" s="64"/>
      <c r="AH244" s="73"/>
    </row>
    <row r="245" spans="1:34" s="69" customFormat="1" ht="18.95">
      <c r="A245" s="252" t="s">
        <v>1048</v>
      </c>
      <c r="B245" s="64" t="s">
        <v>144</v>
      </c>
      <c r="C245" s="65">
        <v>5</v>
      </c>
      <c r="D245" s="65"/>
      <c r="E245" s="65"/>
      <c r="F245" s="65"/>
      <c r="G245" s="64" t="s">
        <v>832</v>
      </c>
      <c r="H245" s="64" t="s">
        <v>1049</v>
      </c>
      <c r="I245" s="64"/>
      <c r="J245" s="64" t="s">
        <v>32</v>
      </c>
      <c r="K245" s="64" t="s">
        <v>33</v>
      </c>
      <c r="L245" s="64"/>
      <c r="M245" s="64"/>
      <c r="N245" s="64"/>
      <c r="O245" s="64"/>
      <c r="P245" s="64"/>
      <c r="Q245" s="280">
        <v>45733</v>
      </c>
      <c r="R245" s="280">
        <v>45740</v>
      </c>
      <c r="S245" s="80"/>
      <c r="T245" s="80"/>
      <c r="U245" s="288"/>
      <c r="V245" s="288"/>
      <c r="W245" s="94" t="s">
        <v>1022</v>
      </c>
      <c r="X245" s="64"/>
      <c r="AH245" s="73"/>
    </row>
    <row r="246" spans="1:34" ht="18.95" customHeight="1">
      <c r="A246" s="252" t="s">
        <v>1050</v>
      </c>
      <c r="B246" s="64" t="s">
        <v>144</v>
      </c>
      <c r="C246" s="65">
        <v>5</v>
      </c>
      <c r="D246" s="65"/>
      <c r="E246" s="65"/>
      <c r="F246" s="65"/>
      <c r="G246" s="64" t="s">
        <v>1051</v>
      </c>
      <c r="H246" s="64" t="s">
        <v>1052</v>
      </c>
      <c r="I246" s="64"/>
      <c r="J246" s="64" t="s">
        <v>32</v>
      </c>
      <c r="K246" s="64" t="s">
        <v>33</v>
      </c>
      <c r="L246" s="64"/>
      <c r="M246" s="64"/>
      <c r="N246" s="64"/>
      <c r="O246" s="64"/>
      <c r="P246" s="64"/>
      <c r="Q246" s="280">
        <v>45733</v>
      </c>
      <c r="R246" s="280">
        <v>45740</v>
      </c>
      <c r="S246" s="80"/>
      <c r="T246" s="80"/>
      <c r="U246" s="288"/>
      <c r="V246" s="288"/>
      <c r="W246" s="94" t="s">
        <v>1022</v>
      </c>
      <c r="X246" s="64"/>
      <c r="AH246" s="81"/>
    </row>
    <row r="247" spans="1:34" s="69" customFormat="1" ht="18.95">
      <c r="A247" s="252" t="s">
        <v>1053</v>
      </c>
      <c r="B247" s="64" t="s">
        <v>144</v>
      </c>
      <c r="C247" s="65">
        <v>5</v>
      </c>
      <c r="D247" s="65"/>
      <c r="E247" s="65"/>
      <c r="F247" s="65"/>
      <c r="G247" s="64" t="s">
        <v>1054</v>
      </c>
      <c r="H247" s="64" t="s">
        <v>1055</v>
      </c>
      <c r="I247" s="64"/>
      <c r="J247" s="64" t="s">
        <v>32</v>
      </c>
      <c r="K247" s="64" t="s">
        <v>33</v>
      </c>
      <c r="L247" s="64"/>
      <c r="M247" s="64"/>
      <c r="N247" s="64"/>
      <c r="O247" s="64"/>
      <c r="P247" s="64"/>
      <c r="Q247" s="280">
        <v>45733</v>
      </c>
      <c r="R247" s="280">
        <f>Q247+7</f>
        <v>45740</v>
      </c>
      <c r="S247" s="67"/>
      <c r="T247" s="67"/>
      <c r="U247" s="98"/>
      <c r="V247" s="98"/>
      <c r="W247" s="68" t="s">
        <v>1022</v>
      </c>
      <c r="X247" s="64"/>
      <c r="AH247" s="73"/>
    </row>
    <row r="248" spans="1:34" s="69" customFormat="1" ht="18.95">
      <c r="A248" s="252" t="s">
        <v>1056</v>
      </c>
      <c r="B248" s="64" t="s">
        <v>144</v>
      </c>
      <c r="C248" s="65">
        <v>5</v>
      </c>
      <c r="D248" s="65"/>
      <c r="E248" s="65"/>
      <c r="F248" s="65"/>
      <c r="G248" s="64" t="s">
        <v>1057</v>
      </c>
      <c r="H248" s="64" t="s">
        <v>1058</v>
      </c>
      <c r="I248" s="64"/>
      <c r="J248" s="64" t="s">
        <v>32</v>
      </c>
      <c r="K248" s="64" t="s">
        <v>33</v>
      </c>
      <c r="L248" s="64"/>
      <c r="M248" s="64"/>
      <c r="N248" s="64"/>
      <c r="O248" s="64"/>
      <c r="P248" s="64"/>
      <c r="Q248" s="280">
        <v>45733</v>
      </c>
      <c r="R248" s="280">
        <f>Q248+7</f>
        <v>45740</v>
      </c>
      <c r="S248" s="67"/>
      <c r="T248" s="67"/>
      <c r="U248" s="98"/>
      <c r="V248" s="98"/>
      <c r="W248" s="68" t="s">
        <v>1022</v>
      </c>
      <c r="X248" s="64"/>
      <c r="AH248" s="73"/>
    </row>
    <row r="249" spans="1:34" s="69" customFormat="1" ht="18.95">
      <c r="A249" s="252" t="s">
        <v>1059</v>
      </c>
      <c r="B249" s="64" t="s">
        <v>144</v>
      </c>
      <c r="C249" s="65">
        <v>5</v>
      </c>
      <c r="D249" s="65"/>
      <c r="E249" s="65"/>
      <c r="F249" s="65"/>
      <c r="G249" s="64" t="s">
        <v>1060</v>
      </c>
      <c r="H249" s="64" t="s">
        <v>1061</v>
      </c>
      <c r="I249" s="64"/>
      <c r="J249" s="64" t="s">
        <v>32</v>
      </c>
      <c r="K249" s="64" t="s">
        <v>33</v>
      </c>
      <c r="L249" s="64"/>
      <c r="M249" s="64"/>
      <c r="N249" s="64"/>
      <c r="O249" s="64"/>
      <c r="P249" s="64"/>
      <c r="Q249" s="280">
        <v>45733</v>
      </c>
      <c r="R249" s="280">
        <v>45740</v>
      </c>
      <c r="S249" s="80"/>
      <c r="T249" s="80"/>
      <c r="U249" s="288"/>
      <c r="V249" s="288"/>
      <c r="W249" s="94" t="s">
        <v>1022</v>
      </c>
      <c r="X249" s="64"/>
      <c r="AH249" s="73"/>
    </row>
    <row r="250" spans="1:34" ht="360.95" customHeight="1">
      <c r="A250" s="252" t="s">
        <v>1062</v>
      </c>
      <c r="B250" s="64" t="s">
        <v>144</v>
      </c>
      <c r="C250" s="65">
        <v>5</v>
      </c>
      <c r="D250" s="65"/>
      <c r="E250" s="65"/>
      <c r="F250" s="65"/>
      <c r="G250" s="64" t="s">
        <v>1063</v>
      </c>
      <c r="H250" s="64" t="s">
        <v>1064</v>
      </c>
      <c r="I250" s="64"/>
      <c r="J250" s="64" t="s">
        <v>32</v>
      </c>
      <c r="K250" s="64" t="s">
        <v>33</v>
      </c>
      <c r="L250" s="64"/>
      <c r="M250" s="64"/>
      <c r="N250" s="64"/>
      <c r="O250" s="64"/>
      <c r="P250" s="64"/>
      <c r="Q250" s="280">
        <v>45733</v>
      </c>
      <c r="R250" s="280">
        <v>45740</v>
      </c>
      <c r="S250" s="80"/>
      <c r="T250" s="80"/>
      <c r="U250" s="288"/>
      <c r="V250" s="288"/>
      <c r="W250" s="94" t="s">
        <v>1022</v>
      </c>
      <c r="X250" s="64"/>
      <c r="AH250" s="81"/>
    </row>
    <row r="251" spans="1:34" s="69" customFormat="1" ht="18.95">
      <c r="A251" s="252" t="s">
        <v>1065</v>
      </c>
      <c r="B251" s="64" t="s">
        <v>144</v>
      </c>
      <c r="C251" s="65">
        <v>5</v>
      </c>
      <c r="D251" s="65"/>
      <c r="E251" s="65"/>
      <c r="F251" s="65"/>
      <c r="G251" s="64" t="s">
        <v>1066</v>
      </c>
      <c r="H251" s="64" t="s">
        <v>1067</v>
      </c>
      <c r="I251" s="64"/>
      <c r="J251" s="64" t="s">
        <v>32</v>
      </c>
      <c r="K251" s="64" t="s">
        <v>33</v>
      </c>
      <c r="L251" s="64"/>
      <c r="M251" s="64"/>
      <c r="N251" s="64"/>
      <c r="O251" s="64"/>
      <c r="P251" s="64"/>
      <c r="Q251" s="280">
        <v>45733</v>
      </c>
      <c r="R251" s="280">
        <v>45740</v>
      </c>
      <c r="S251" s="67"/>
      <c r="T251" s="67"/>
      <c r="U251" s="98"/>
      <c r="V251" s="98"/>
      <c r="W251" s="68" t="s">
        <v>1043</v>
      </c>
      <c r="X251" s="64"/>
      <c r="AH251" s="73"/>
    </row>
    <row r="252" spans="1:34" s="69" customFormat="1" ht="18.95">
      <c r="A252" s="252" t="s">
        <v>623</v>
      </c>
      <c r="B252" s="64" t="s">
        <v>144</v>
      </c>
      <c r="C252" s="65">
        <v>5</v>
      </c>
      <c r="D252" s="65"/>
      <c r="E252" s="65"/>
      <c r="F252" s="65"/>
      <c r="G252" s="64" t="s">
        <v>1068</v>
      </c>
      <c r="H252" s="64" t="s">
        <v>1069</v>
      </c>
      <c r="I252" s="64"/>
      <c r="J252" s="64" t="s">
        <v>32</v>
      </c>
      <c r="K252" s="64" t="s">
        <v>33</v>
      </c>
      <c r="L252" s="64"/>
      <c r="M252" s="64"/>
      <c r="N252" s="64"/>
      <c r="O252" s="64"/>
      <c r="P252" s="64"/>
      <c r="Q252" s="280">
        <v>45733</v>
      </c>
      <c r="R252" s="280">
        <f t="shared" ref="R252:R261" si="2">Q252+7</f>
        <v>45740</v>
      </c>
      <c r="S252" s="67"/>
      <c r="T252" s="67"/>
      <c r="U252" s="98"/>
      <c r="V252" s="98"/>
      <c r="W252" s="68" t="s">
        <v>1022</v>
      </c>
      <c r="X252" s="64"/>
      <c r="AH252" s="73"/>
    </row>
    <row r="253" spans="1:34" s="69" customFormat="1" ht="18.95">
      <c r="A253" s="252" t="s">
        <v>1070</v>
      </c>
      <c r="B253" s="64" t="s">
        <v>144</v>
      </c>
      <c r="C253" s="65">
        <v>5</v>
      </c>
      <c r="D253" s="65"/>
      <c r="E253" s="65"/>
      <c r="F253" s="65"/>
      <c r="G253" s="64" t="s">
        <v>1071</v>
      </c>
      <c r="H253" s="64" t="s">
        <v>1072</v>
      </c>
      <c r="I253" s="64"/>
      <c r="J253" s="64" t="s">
        <v>32</v>
      </c>
      <c r="K253" s="64" t="s">
        <v>33</v>
      </c>
      <c r="L253" s="64"/>
      <c r="M253" s="64"/>
      <c r="N253" s="64"/>
      <c r="O253" s="64"/>
      <c r="P253" s="64"/>
      <c r="Q253" s="280">
        <v>45733</v>
      </c>
      <c r="R253" s="280">
        <f t="shared" si="2"/>
        <v>45740</v>
      </c>
      <c r="S253" s="67"/>
      <c r="T253" s="67"/>
      <c r="U253" s="98"/>
      <c r="V253" s="98"/>
      <c r="W253" s="68" t="s">
        <v>1022</v>
      </c>
      <c r="X253" s="64"/>
      <c r="AH253" s="73"/>
    </row>
    <row r="254" spans="1:34" ht="18.95" customHeight="1">
      <c r="A254" s="68" t="s">
        <v>1073</v>
      </c>
      <c r="B254" s="64" t="s">
        <v>144</v>
      </c>
      <c r="C254" s="65">
        <v>5</v>
      </c>
      <c r="D254" s="65"/>
      <c r="E254" s="65"/>
      <c r="F254" s="65"/>
      <c r="G254" s="64" t="s">
        <v>1074</v>
      </c>
      <c r="H254" s="64" t="s">
        <v>1075</v>
      </c>
      <c r="I254" s="64"/>
      <c r="J254" s="64" t="s">
        <v>32</v>
      </c>
      <c r="K254" s="64" t="s">
        <v>33</v>
      </c>
      <c r="L254" s="64" t="s">
        <v>54</v>
      </c>
      <c r="M254" s="64"/>
      <c r="N254" s="64"/>
      <c r="O254" s="64"/>
      <c r="P254" s="64"/>
      <c r="Q254" s="280">
        <v>45735</v>
      </c>
      <c r="R254" s="280">
        <f t="shared" si="2"/>
        <v>45742</v>
      </c>
      <c r="S254" s="67"/>
      <c r="T254" s="67"/>
      <c r="U254" s="98"/>
      <c r="V254" s="98"/>
      <c r="W254" s="68" t="s">
        <v>1076</v>
      </c>
      <c r="X254" s="64"/>
      <c r="AH254" s="62" t="s">
        <v>380</v>
      </c>
    </row>
    <row r="255" spans="1:34" ht="18.95">
      <c r="A255" s="68" t="s">
        <v>1077</v>
      </c>
      <c r="B255" s="64" t="s">
        <v>144</v>
      </c>
      <c r="C255" s="65">
        <v>5</v>
      </c>
      <c r="D255" s="65"/>
      <c r="E255" s="65"/>
      <c r="F255" s="65"/>
      <c r="G255" s="64" t="s">
        <v>1078</v>
      </c>
      <c r="H255" s="64" t="s">
        <v>1079</v>
      </c>
      <c r="I255" s="64"/>
      <c r="J255" s="64" t="s">
        <v>32</v>
      </c>
      <c r="K255" s="64" t="s">
        <v>33</v>
      </c>
      <c r="L255" s="64" t="s">
        <v>175</v>
      </c>
      <c r="M255" s="64"/>
      <c r="N255" s="64"/>
      <c r="O255" s="64"/>
      <c r="P255" s="64"/>
      <c r="Q255" s="280">
        <v>45737</v>
      </c>
      <c r="R255" s="280">
        <f t="shared" si="2"/>
        <v>45744</v>
      </c>
      <c r="S255" s="67"/>
      <c r="T255" s="67"/>
      <c r="U255" s="98"/>
      <c r="V255" s="98"/>
      <c r="W255" s="68" t="s">
        <v>1080</v>
      </c>
      <c r="X255" s="64"/>
      <c r="AH255" s="62" t="s">
        <v>268</v>
      </c>
    </row>
    <row r="256" spans="1:34" ht="18.95" customHeight="1">
      <c r="A256" s="68" t="s">
        <v>1081</v>
      </c>
      <c r="B256" s="64" t="s">
        <v>144</v>
      </c>
      <c r="C256" s="65">
        <v>5</v>
      </c>
      <c r="D256" s="65"/>
      <c r="E256" s="65"/>
      <c r="F256" s="65"/>
      <c r="G256" s="64"/>
      <c r="H256" s="64" t="s">
        <v>1082</v>
      </c>
      <c r="I256" s="64"/>
      <c r="J256" s="64" t="s">
        <v>169</v>
      </c>
      <c r="K256" s="64" t="s">
        <v>33</v>
      </c>
      <c r="L256" s="64" t="s">
        <v>1083</v>
      </c>
      <c r="M256" s="64"/>
      <c r="N256" s="64"/>
      <c r="O256" s="64"/>
      <c r="P256" s="64"/>
      <c r="Q256" s="280">
        <v>45740</v>
      </c>
      <c r="R256" s="280">
        <f t="shared" si="2"/>
        <v>45747</v>
      </c>
      <c r="S256" s="67"/>
      <c r="T256" s="67"/>
      <c r="U256" s="98"/>
      <c r="V256" s="98"/>
      <c r="W256" s="68" t="s">
        <v>1084</v>
      </c>
      <c r="X256" s="64"/>
    </row>
    <row r="257" spans="1:34" ht="18.95" customHeight="1">
      <c r="A257" s="252" t="s">
        <v>1085</v>
      </c>
      <c r="B257" s="64" t="s">
        <v>144</v>
      </c>
      <c r="C257" s="65">
        <v>5</v>
      </c>
      <c r="D257" s="65"/>
      <c r="E257" s="65"/>
      <c r="F257" s="65"/>
      <c r="G257" s="64" t="s">
        <v>1086</v>
      </c>
      <c r="H257" s="64" t="s">
        <v>1087</v>
      </c>
      <c r="I257" s="64"/>
      <c r="J257" s="64" t="s">
        <v>32</v>
      </c>
      <c r="K257" s="64" t="s">
        <v>33</v>
      </c>
      <c r="L257" s="64"/>
      <c r="M257" s="64"/>
      <c r="N257" s="64"/>
      <c r="O257" s="64"/>
      <c r="P257" s="64"/>
      <c r="Q257" s="280">
        <v>45742</v>
      </c>
      <c r="R257" s="280">
        <f t="shared" si="2"/>
        <v>45749</v>
      </c>
      <c r="S257" s="75" t="s">
        <v>260</v>
      </c>
      <c r="T257" s="75"/>
      <c r="U257" s="98"/>
      <c r="V257" s="98"/>
      <c r="W257" s="68" t="s">
        <v>1088</v>
      </c>
      <c r="X257" s="64"/>
    </row>
    <row r="258" spans="1:34" ht="24" customHeight="1">
      <c r="A258" s="68" t="s">
        <v>1089</v>
      </c>
      <c r="B258" s="64" t="s">
        <v>144</v>
      </c>
      <c r="C258" s="65">
        <v>5</v>
      </c>
      <c r="D258" s="65"/>
      <c r="E258" s="65"/>
      <c r="F258" s="65" t="s">
        <v>1090</v>
      </c>
      <c r="G258" s="64" t="s">
        <v>1091</v>
      </c>
      <c r="H258" s="66" t="s">
        <v>1092</v>
      </c>
      <c r="I258" s="66"/>
      <c r="J258" s="64" t="s">
        <v>1093</v>
      </c>
      <c r="K258" s="64" t="s">
        <v>33</v>
      </c>
      <c r="L258" s="64" t="s">
        <v>364</v>
      </c>
      <c r="M258" s="64"/>
      <c r="N258" s="64"/>
      <c r="O258" s="64"/>
      <c r="P258" s="64"/>
      <c r="Q258" s="280">
        <v>45742</v>
      </c>
      <c r="R258" s="280">
        <f t="shared" si="2"/>
        <v>45749</v>
      </c>
      <c r="S258" s="67"/>
      <c r="T258" s="67"/>
      <c r="U258" s="98"/>
      <c r="V258" s="98"/>
      <c r="W258" s="68" t="s">
        <v>1094</v>
      </c>
      <c r="X258" s="64"/>
      <c r="AH258" s="62" t="s">
        <v>278</v>
      </c>
    </row>
    <row r="259" spans="1:34" ht="144" customHeight="1">
      <c r="A259" s="68" t="s">
        <v>1095</v>
      </c>
      <c r="B259" s="64" t="s">
        <v>144</v>
      </c>
      <c r="C259" s="65">
        <v>5</v>
      </c>
      <c r="D259" s="65"/>
      <c r="E259" s="65"/>
      <c r="F259" s="65"/>
      <c r="G259" s="64"/>
      <c r="H259" s="66" t="s">
        <v>1096</v>
      </c>
      <c r="I259" s="66"/>
      <c r="J259" s="64" t="s">
        <v>32</v>
      </c>
      <c r="K259" s="64" t="s">
        <v>311</v>
      </c>
      <c r="L259" s="64" t="s">
        <v>54</v>
      </c>
      <c r="M259" s="64"/>
      <c r="N259" s="64"/>
      <c r="O259" s="64"/>
      <c r="P259" s="64"/>
      <c r="Q259" s="280">
        <v>45742</v>
      </c>
      <c r="R259" s="280">
        <f t="shared" si="2"/>
        <v>45749</v>
      </c>
      <c r="S259" s="67"/>
      <c r="T259" s="67"/>
      <c r="U259" s="98"/>
      <c r="V259" s="98"/>
      <c r="W259" s="68" t="s">
        <v>1097</v>
      </c>
      <c r="X259" s="64"/>
    </row>
    <row r="260" spans="1:34" ht="38.1" customHeight="1">
      <c r="A260" s="68" t="s">
        <v>1098</v>
      </c>
      <c r="B260" s="64" t="s">
        <v>380</v>
      </c>
      <c r="C260" s="65">
        <v>5</v>
      </c>
      <c r="D260" s="65" t="s">
        <v>28</v>
      </c>
      <c r="E260" s="65"/>
      <c r="F260" s="65"/>
      <c r="G260" s="64"/>
      <c r="H260" s="71" t="s">
        <v>1099</v>
      </c>
      <c r="I260" s="71"/>
      <c r="J260" s="64"/>
      <c r="K260" s="64" t="s">
        <v>33</v>
      </c>
      <c r="L260" s="64"/>
      <c r="M260" s="64"/>
      <c r="N260" s="64"/>
      <c r="O260" s="72"/>
      <c r="P260" s="72"/>
      <c r="Q260" s="280">
        <v>45743</v>
      </c>
      <c r="R260" s="280">
        <f t="shared" si="2"/>
        <v>45750</v>
      </c>
      <c r="S260" s="75" t="s">
        <v>260</v>
      </c>
      <c r="T260" s="75"/>
      <c r="U260" s="98"/>
      <c r="V260" s="98"/>
      <c r="W260" s="68" t="s">
        <v>1100</v>
      </c>
      <c r="X260" s="64"/>
    </row>
    <row r="261" spans="1:34" ht="18.95" customHeight="1">
      <c r="A261" s="68" t="s">
        <v>1101</v>
      </c>
      <c r="B261" s="64" t="s">
        <v>144</v>
      </c>
      <c r="C261" s="65">
        <v>5</v>
      </c>
      <c r="D261" s="65"/>
      <c r="E261" s="65"/>
      <c r="F261" s="65"/>
      <c r="G261" s="64"/>
      <c r="H261" s="64" t="s">
        <v>1102</v>
      </c>
      <c r="I261" s="64"/>
      <c r="J261" s="64" t="s">
        <v>32</v>
      </c>
      <c r="K261" s="64" t="s">
        <v>33</v>
      </c>
      <c r="L261" s="64" t="s">
        <v>1103</v>
      </c>
      <c r="M261" s="79"/>
      <c r="N261" s="79"/>
      <c r="O261" s="79"/>
      <c r="P261" s="79"/>
      <c r="Q261" s="280">
        <v>45744</v>
      </c>
      <c r="R261" s="280">
        <f t="shared" si="2"/>
        <v>45751</v>
      </c>
      <c r="S261" s="67"/>
      <c r="T261" s="67"/>
      <c r="U261" s="98"/>
      <c r="V261" s="98"/>
      <c r="W261" s="68" t="s">
        <v>1104</v>
      </c>
      <c r="X261" s="64"/>
    </row>
    <row r="262" spans="1:34" ht="57" customHeight="1">
      <c r="A262" s="68" t="s">
        <v>1105</v>
      </c>
      <c r="B262" s="64" t="s">
        <v>1106</v>
      </c>
      <c r="C262" s="65">
        <v>5</v>
      </c>
      <c r="D262" s="65"/>
      <c r="E262" s="65"/>
      <c r="F262" s="65"/>
      <c r="G262" s="64" t="s">
        <v>1107</v>
      </c>
      <c r="H262" s="64" t="s">
        <v>1108</v>
      </c>
      <c r="I262" s="64"/>
      <c r="J262" s="64" t="s">
        <v>32</v>
      </c>
      <c r="K262" s="64" t="s">
        <v>133</v>
      </c>
      <c r="L262" s="64" t="s">
        <v>71</v>
      </c>
      <c r="M262" s="64" t="s">
        <v>1109</v>
      </c>
      <c r="N262" s="64" t="s">
        <v>64</v>
      </c>
      <c r="O262" s="64"/>
      <c r="P262" s="64"/>
      <c r="Q262" s="280">
        <v>45742</v>
      </c>
      <c r="R262" s="280">
        <f>Q262+10</f>
        <v>45752</v>
      </c>
      <c r="S262" s="67"/>
      <c r="T262" s="67"/>
      <c r="U262" s="98"/>
      <c r="V262" s="98"/>
      <c r="W262" s="68" t="s">
        <v>1110</v>
      </c>
      <c r="X262" s="64"/>
      <c r="AH262" s="62" t="s">
        <v>137</v>
      </c>
    </row>
    <row r="263" spans="1:34" ht="18.95" customHeight="1">
      <c r="A263" s="68" t="s">
        <v>1111</v>
      </c>
      <c r="B263" s="64" t="s">
        <v>144</v>
      </c>
      <c r="C263" s="65">
        <v>5</v>
      </c>
      <c r="D263" s="65" t="s">
        <v>671</v>
      </c>
      <c r="E263" s="65" t="s">
        <v>518</v>
      </c>
      <c r="F263" s="65"/>
      <c r="G263" s="64"/>
      <c r="H263" s="66" t="s">
        <v>521</v>
      </c>
      <c r="I263" s="66"/>
      <c r="J263" s="64" t="s">
        <v>32</v>
      </c>
      <c r="K263" s="64" t="s">
        <v>33</v>
      </c>
      <c r="L263" s="64"/>
      <c r="M263" s="64"/>
      <c r="N263" s="64"/>
      <c r="O263" s="64"/>
      <c r="P263" s="64"/>
      <c r="Q263" s="280">
        <v>45708</v>
      </c>
      <c r="R263" s="280">
        <f>Q263+45</f>
        <v>45753</v>
      </c>
      <c r="S263" s="67"/>
      <c r="T263" s="67"/>
      <c r="U263" s="98"/>
      <c r="V263" s="98"/>
      <c r="W263" s="68" t="s">
        <v>1112</v>
      </c>
      <c r="X263" s="64"/>
      <c r="AH263" s="62" t="s">
        <v>429</v>
      </c>
    </row>
    <row r="264" spans="1:34" ht="18.95" customHeight="1">
      <c r="A264" s="68" t="s">
        <v>1113</v>
      </c>
      <c r="B264" s="74" t="s">
        <v>144</v>
      </c>
      <c r="C264" s="65">
        <v>5</v>
      </c>
      <c r="D264" s="65" t="s">
        <v>600</v>
      </c>
      <c r="E264" s="65"/>
      <c r="F264" s="65"/>
      <c r="G264" s="64" t="s">
        <v>1114</v>
      </c>
      <c r="H264" s="66" t="s">
        <v>1115</v>
      </c>
      <c r="I264" s="66"/>
      <c r="J264" s="64" t="s">
        <v>32</v>
      </c>
      <c r="K264" s="64" t="s">
        <v>33</v>
      </c>
      <c r="L264" s="64" t="s">
        <v>111</v>
      </c>
      <c r="M264" s="64"/>
      <c r="N264" s="64" t="s">
        <v>64</v>
      </c>
      <c r="O264" s="64"/>
      <c r="P264" s="64"/>
      <c r="Q264" s="280">
        <v>45641</v>
      </c>
      <c r="R264" s="280">
        <f>Q264+120</f>
        <v>45761</v>
      </c>
      <c r="S264" s="67"/>
      <c r="T264" s="67"/>
      <c r="U264" s="98"/>
      <c r="V264" s="98"/>
      <c r="W264" s="68" t="s">
        <v>1116</v>
      </c>
      <c r="X264" s="64"/>
    </row>
    <row r="265" spans="1:34" ht="18.95" customHeight="1">
      <c r="A265" s="68" t="s">
        <v>1117</v>
      </c>
      <c r="B265" s="64" t="s">
        <v>144</v>
      </c>
      <c r="C265" s="65">
        <v>5</v>
      </c>
      <c r="D265" s="79" t="s">
        <v>488</v>
      </c>
      <c r="E265" s="79"/>
      <c r="F265" s="65"/>
      <c r="G265" s="65"/>
      <c r="H265" s="64" t="s">
        <v>1118</v>
      </c>
      <c r="I265" s="64"/>
      <c r="J265" s="64" t="s">
        <v>32</v>
      </c>
      <c r="K265" s="64" t="s">
        <v>499</v>
      </c>
      <c r="L265" s="64" t="s">
        <v>46</v>
      </c>
      <c r="M265" s="64"/>
      <c r="N265" s="64"/>
      <c r="O265" s="64"/>
      <c r="P265" s="64"/>
      <c r="Q265" s="280">
        <v>45756</v>
      </c>
      <c r="R265" s="280">
        <f>Q265+7</f>
        <v>45763</v>
      </c>
      <c r="S265" s="75" t="s">
        <v>260</v>
      </c>
      <c r="T265" s="75"/>
      <c r="U265" s="284"/>
      <c r="V265" s="284"/>
      <c r="W265" s="68" t="s">
        <v>1119</v>
      </c>
      <c r="X265" s="64"/>
    </row>
    <row r="266" spans="1:34" ht="18.95" customHeight="1">
      <c r="A266" s="68" t="s">
        <v>1120</v>
      </c>
      <c r="B266" s="64" t="s">
        <v>144</v>
      </c>
      <c r="C266" s="65">
        <v>5</v>
      </c>
      <c r="D266" s="65"/>
      <c r="E266" s="65"/>
      <c r="F266" s="65" t="s">
        <v>32</v>
      </c>
      <c r="G266" s="64" t="s">
        <v>1121</v>
      </c>
      <c r="H266" s="66" t="s">
        <v>1122</v>
      </c>
      <c r="I266" s="66"/>
      <c r="J266" s="64" t="s">
        <v>32</v>
      </c>
      <c r="K266" s="64" t="s">
        <v>33</v>
      </c>
      <c r="L266" s="64" t="s">
        <v>111</v>
      </c>
      <c r="M266" s="64"/>
      <c r="N266" s="64"/>
      <c r="O266" s="72"/>
      <c r="P266" s="72"/>
      <c r="Q266" s="280">
        <v>45757</v>
      </c>
      <c r="R266" s="280">
        <f>Q266+7</f>
        <v>45764</v>
      </c>
      <c r="S266" s="67"/>
      <c r="T266" s="67"/>
      <c r="U266" s="98"/>
      <c r="V266" s="98"/>
      <c r="W266" s="68" t="s">
        <v>1123</v>
      </c>
      <c r="X266" s="74"/>
    </row>
    <row r="267" spans="1:34" ht="18.95" customHeight="1">
      <c r="A267" s="68" t="s">
        <v>1124</v>
      </c>
      <c r="B267" s="64" t="s">
        <v>144</v>
      </c>
      <c r="C267" s="65">
        <v>5</v>
      </c>
      <c r="D267" s="65" t="s">
        <v>50</v>
      </c>
      <c r="E267" s="65"/>
      <c r="F267" s="65" t="s">
        <v>1090</v>
      </c>
      <c r="G267" s="64"/>
      <c r="H267" s="64" t="s">
        <v>1125</v>
      </c>
      <c r="I267" s="64"/>
      <c r="J267" s="64" t="s">
        <v>32</v>
      </c>
      <c r="K267" s="64" t="s">
        <v>33</v>
      </c>
      <c r="L267" s="64" t="s">
        <v>786</v>
      </c>
      <c r="M267" s="64"/>
      <c r="N267" s="64"/>
      <c r="O267" s="64"/>
      <c r="P267" s="64" t="s">
        <v>462</v>
      </c>
      <c r="Q267" s="280">
        <v>45750</v>
      </c>
      <c r="R267" s="280">
        <f>Q267+14</f>
        <v>45764</v>
      </c>
      <c r="S267" s="67"/>
      <c r="T267" s="67"/>
      <c r="U267" s="98"/>
      <c r="V267" s="98"/>
      <c r="W267" s="68" t="s">
        <v>1126</v>
      </c>
      <c r="X267" s="64"/>
    </row>
    <row r="268" spans="1:34" ht="18.95" customHeight="1">
      <c r="A268" s="68" t="s">
        <v>1127</v>
      </c>
      <c r="B268" s="64" t="s">
        <v>144</v>
      </c>
      <c r="C268" s="65">
        <v>5</v>
      </c>
      <c r="D268" s="65"/>
      <c r="E268" s="65"/>
      <c r="F268" s="65" t="s">
        <v>416</v>
      </c>
      <c r="G268" s="64" t="s">
        <v>1128</v>
      </c>
      <c r="H268" s="64" t="s">
        <v>1129</v>
      </c>
      <c r="I268" s="64"/>
      <c r="J268" s="64" t="s">
        <v>32</v>
      </c>
      <c r="K268" s="64" t="s">
        <v>33</v>
      </c>
      <c r="L268" s="64" t="s">
        <v>46</v>
      </c>
      <c r="M268" s="64"/>
      <c r="N268" s="64" t="s">
        <v>64</v>
      </c>
      <c r="O268" s="64"/>
      <c r="P268" s="64"/>
      <c r="Q268" s="280">
        <v>45747</v>
      </c>
      <c r="R268" s="280">
        <f>Q268+21</f>
        <v>45768</v>
      </c>
      <c r="S268" s="75" t="s">
        <v>260</v>
      </c>
      <c r="T268" s="75"/>
      <c r="U268" s="98"/>
      <c r="V268" s="98"/>
      <c r="W268" s="68" t="s">
        <v>1130</v>
      </c>
      <c r="X268" s="64"/>
    </row>
    <row r="269" spans="1:34" ht="18.95" customHeight="1">
      <c r="A269" s="68" t="s">
        <v>1131</v>
      </c>
      <c r="B269" s="64" t="s">
        <v>144</v>
      </c>
      <c r="C269" s="65">
        <v>5</v>
      </c>
      <c r="D269" s="65" t="s">
        <v>502</v>
      </c>
      <c r="E269" s="65" t="s">
        <v>503</v>
      </c>
      <c r="F269" s="65" t="s">
        <v>509</v>
      </c>
      <c r="G269" s="64" t="s">
        <v>1132</v>
      </c>
      <c r="H269" s="64" t="s">
        <v>505</v>
      </c>
      <c r="I269" s="97">
        <v>14742</v>
      </c>
      <c r="J269" s="64" t="s">
        <v>32</v>
      </c>
      <c r="K269" s="64" t="s">
        <v>572</v>
      </c>
      <c r="L269" s="64"/>
      <c r="M269" s="64"/>
      <c r="N269" s="64"/>
      <c r="O269" s="64"/>
      <c r="P269" s="64"/>
      <c r="Q269" s="280">
        <v>45761</v>
      </c>
      <c r="R269" s="280">
        <f>Q269+7</f>
        <v>45768</v>
      </c>
      <c r="S269" s="75"/>
      <c r="T269" s="75"/>
      <c r="U269" s="284"/>
      <c r="V269" s="284"/>
      <c r="W269" s="68" t="s">
        <v>1133</v>
      </c>
      <c r="X269" s="64"/>
    </row>
    <row r="270" spans="1:34" ht="18.95" customHeight="1">
      <c r="A270" s="68" t="s">
        <v>1134</v>
      </c>
      <c r="B270" s="64" t="s">
        <v>199</v>
      </c>
      <c r="C270" s="65">
        <v>5</v>
      </c>
      <c r="D270" s="65"/>
      <c r="E270" s="65"/>
      <c r="F270" s="65" t="s">
        <v>1135</v>
      </c>
      <c r="G270" s="64" t="s">
        <v>1136</v>
      </c>
      <c r="H270" s="64" t="s">
        <v>1137</v>
      </c>
      <c r="I270" s="64"/>
      <c r="J270" s="64" t="s">
        <v>1093</v>
      </c>
      <c r="K270" s="64" t="s">
        <v>311</v>
      </c>
      <c r="L270" s="64" t="s">
        <v>711</v>
      </c>
      <c r="M270" s="64"/>
      <c r="N270" s="64"/>
      <c r="O270" s="64"/>
      <c r="P270" s="64"/>
      <c r="Q270" s="280">
        <v>45761</v>
      </c>
      <c r="R270" s="280">
        <f>Q270+7</f>
        <v>45768</v>
      </c>
      <c r="S270" s="67"/>
      <c r="T270" s="67"/>
      <c r="U270" s="98"/>
      <c r="V270" s="98"/>
      <c r="W270" s="68" t="s">
        <v>1138</v>
      </c>
      <c r="X270" s="64"/>
      <c r="AH270" s="62" t="s">
        <v>1139</v>
      </c>
    </row>
    <row r="271" spans="1:34" ht="18.95" customHeight="1">
      <c r="A271" s="68" t="s">
        <v>601</v>
      </c>
      <c r="B271" s="64" t="s">
        <v>144</v>
      </c>
      <c r="C271" s="65">
        <v>5</v>
      </c>
      <c r="D271" s="65"/>
      <c r="E271" s="65"/>
      <c r="F271" s="65"/>
      <c r="G271" s="64" t="s">
        <v>840</v>
      </c>
      <c r="H271" s="64" t="s">
        <v>1140</v>
      </c>
      <c r="I271" s="64"/>
      <c r="J271" s="64" t="s">
        <v>32</v>
      </c>
      <c r="K271" s="64" t="s">
        <v>33</v>
      </c>
      <c r="L271" s="64" t="s">
        <v>111</v>
      </c>
      <c r="M271" s="64" t="s">
        <v>1141</v>
      </c>
      <c r="N271" s="64" t="s">
        <v>64</v>
      </c>
      <c r="O271" s="64"/>
      <c r="P271" s="64"/>
      <c r="Q271" s="280">
        <v>45762</v>
      </c>
      <c r="R271" s="280">
        <f>Q271+7</f>
        <v>45769</v>
      </c>
      <c r="S271" s="67"/>
      <c r="T271" s="67"/>
      <c r="U271" s="98"/>
      <c r="V271" s="98"/>
      <c r="W271" s="68" t="s">
        <v>1142</v>
      </c>
      <c r="X271" s="64"/>
      <c r="AH271" s="62" t="s">
        <v>104</v>
      </c>
    </row>
    <row r="272" spans="1:34" ht="24" customHeight="1">
      <c r="A272" s="68" t="s">
        <v>1143</v>
      </c>
      <c r="B272" s="64" t="s">
        <v>144</v>
      </c>
      <c r="C272" s="65">
        <v>5</v>
      </c>
      <c r="D272" s="65"/>
      <c r="E272" s="65"/>
      <c r="F272" s="65" t="s">
        <v>509</v>
      </c>
      <c r="G272" s="64"/>
      <c r="H272" s="64" t="s">
        <v>1144</v>
      </c>
      <c r="I272" s="64"/>
      <c r="J272" s="64" t="s">
        <v>32</v>
      </c>
      <c r="K272" s="64" t="s">
        <v>311</v>
      </c>
      <c r="L272" s="64" t="s">
        <v>46</v>
      </c>
      <c r="M272" s="64"/>
      <c r="N272" s="64"/>
      <c r="O272" s="64"/>
      <c r="P272" s="64"/>
      <c r="Q272" s="280">
        <v>45772</v>
      </c>
      <c r="R272" s="280">
        <f>Q272+7</f>
        <v>45779</v>
      </c>
      <c r="S272" s="75" t="s">
        <v>260</v>
      </c>
      <c r="T272" s="75"/>
      <c r="U272" s="284"/>
      <c r="V272" s="284"/>
      <c r="W272" s="68" t="s">
        <v>1145</v>
      </c>
      <c r="X272" s="64"/>
    </row>
    <row r="273" spans="1:24" ht="24" customHeight="1">
      <c r="A273" s="68" t="s">
        <v>1146</v>
      </c>
      <c r="B273" s="64" t="s">
        <v>144</v>
      </c>
      <c r="C273" s="65">
        <v>5</v>
      </c>
      <c r="D273" s="65" t="s">
        <v>502</v>
      </c>
      <c r="E273" s="65"/>
      <c r="F273" s="65" t="s">
        <v>509</v>
      </c>
      <c r="G273" s="64" t="s">
        <v>1147</v>
      </c>
      <c r="H273" s="64" t="s">
        <v>1148</v>
      </c>
      <c r="I273" s="64"/>
      <c r="J273" s="64" t="s">
        <v>32</v>
      </c>
      <c r="K273" s="64" t="s">
        <v>540</v>
      </c>
      <c r="L273" s="64" t="s">
        <v>46</v>
      </c>
      <c r="M273" s="64"/>
      <c r="N273" s="64"/>
      <c r="O273" s="64"/>
      <c r="P273" s="64"/>
      <c r="Q273" s="280">
        <v>45775</v>
      </c>
      <c r="R273" s="280">
        <f>Q273+7</f>
        <v>45782</v>
      </c>
      <c r="S273" s="75"/>
      <c r="T273" s="75"/>
      <c r="U273" s="284"/>
      <c r="V273" s="284"/>
      <c r="W273" s="68" t="s">
        <v>1149</v>
      </c>
      <c r="X273" s="64"/>
    </row>
    <row r="274" spans="1:24" ht="48" customHeight="1">
      <c r="A274" s="68" t="s">
        <v>1150</v>
      </c>
      <c r="B274" s="64" t="s">
        <v>144</v>
      </c>
      <c r="C274" s="65">
        <v>5</v>
      </c>
      <c r="D274" s="65" t="s">
        <v>502</v>
      </c>
      <c r="F274" s="89" t="s">
        <v>253</v>
      </c>
      <c r="G274" s="64" t="s">
        <v>1151</v>
      </c>
      <c r="H274" s="64" t="s">
        <v>961</v>
      </c>
      <c r="I274" s="64">
        <v>342</v>
      </c>
      <c r="J274" s="64" t="s">
        <v>32</v>
      </c>
      <c r="K274" s="64" t="s">
        <v>33</v>
      </c>
      <c r="L274" s="64" t="s">
        <v>46</v>
      </c>
      <c r="M274" s="64"/>
      <c r="N274" s="64"/>
      <c r="O274" s="64"/>
      <c r="P274" s="64"/>
      <c r="Q274" s="280">
        <v>45777</v>
      </c>
      <c r="R274" s="280">
        <f>Q274+6</f>
        <v>45783</v>
      </c>
      <c r="S274" s="75"/>
      <c r="T274" s="75"/>
      <c r="U274" s="284"/>
      <c r="V274" s="284"/>
      <c r="W274" s="68" t="s">
        <v>1152</v>
      </c>
      <c r="X274" s="64"/>
    </row>
    <row r="275" spans="1:24" ht="48" customHeight="1">
      <c r="A275" s="68" t="s">
        <v>1153</v>
      </c>
      <c r="B275" s="64" t="s">
        <v>144</v>
      </c>
      <c r="C275" s="65">
        <v>5</v>
      </c>
      <c r="D275" s="65" t="s">
        <v>502</v>
      </c>
      <c r="E275" s="65"/>
      <c r="F275" s="65"/>
      <c r="G275" s="64" t="s">
        <v>1154</v>
      </c>
      <c r="H275" s="64" t="s">
        <v>1155</v>
      </c>
      <c r="I275" s="64"/>
      <c r="J275" s="64" t="s">
        <v>1156</v>
      </c>
      <c r="K275" s="64" t="s">
        <v>394</v>
      </c>
      <c r="L275" s="64"/>
      <c r="M275" s="64"/>
      <c r="N275" s="64"/>
      <c r="O275" s="64"/>
      <c r="P275" s="64"/>
      <c r="Q275" s="280">
        <v>45723</v>
      </c>
      <c r="R275" s="280">
        <f>Q275+60</f>
        <v>45783</v>
      </c>
      <c r="S275" s="75"/>
      <c r="T275" s="75"/>
      <c r="U275" s="284"/>
      <c r="V275" s="284"/>
      <c r="W275" s="68" t="s">
        <v>1157</v>
      </c>
      <c r="X275" s="64"/>
    </row>
    <row r="276" spans="1:24" ht="18.95" customHeight="1">
      <c r="A276" s="68" t="s">
        <v>1158</v>
      </c>
      <c r="B276" s="64" t="s">
        <v>199</v>
      </c>
      <c r="C276" s="65">
        <v>5</v>
      </c>
      <c r="D276" s="65" t="s">
        <v>421</v>
      </c>
      <c r="E276" s="65"/>
      <c r="F276" s="65" t="s">
        <v>32</v>
      </c>
      <c r="G276" s="64"/>
      <c r="H276" s="64" t="s">
        <v>1159</v>
      </c>
      <c r="I276" s="64"/>
      <c r="J276" s="64" t="s">
        <v>32</v>
      </c>
      <c r="K276" s="64" t="s">
        <v>33</v>
      </c>
      <c r="L276" s="64" t="s">
        <v>1160</v>
      </c>
      <c r="M276" s="78"/>
      <c r="N276" s="78"/>
      <c r="O276" s="78"/>
      <c r="P276" s="64"/>
      <c r="Q276" s="280">
        <v>45764</v>
      </c>
      <c r="R276" s="280">
        <f>Q276+21</f>
        <v>45785</v>
      </c>
      <c r="S276" s="67"/>
      <c r="T276" s="67"/>
      <c r="U276" s="98"/>
      <c r="V276" s="98"/>
      <c r="W276" s="68" t="s">
        <v>1161</v>
      </c>
      <c r="X276" s="64"/>
    </row>
    <row r="277" spans="1:24" ht="29.1" customHeight="1">
      <c r="A277" s="83" t="s">
        <v>1162</v>
      </c>
      <c r="B277" s="64" t="s">
        <v>144</v>
      </c>
      <c r="C277" s="65">
        <v>5</v>
      </c>
      <c r="D277" s="65"/>
      <c r="E277" s="65"/>
      <c r="F277" s="65" t="s">
        <v>1163</v>
      </c>
      <c r="G277" s="79" t="s">
        <v>1164</v>
      </c>
      <c r="H277" s="79" t="s">
        <v>1165</v>
      </c>
      <c r="I277" s="79"/>
      <c r="J277" s="79" t="s">
        <v>32</v>
      </c>
      <c r="K277" s="79" t="s">
        <v>594</v>
      </c>
      <c r="L277" s="79" t="s">
        <v>46</v>
      </c>
      <c r="M277" s="79"/>
      <c r="N277" s="79"/>
      <c r="O277" s="79"/>
      <c r="P277" s="79"/>
      <c r="Q277" s="280">
        <v>45772</v>
      </c>
      <c r="R277" s="280">
        <f>Q277+14</f>
        <v>45786</v>
      </c>
      <c r="S277" s="82"/>
      <c r="T277" s="82"/>
      <c r="U277" s="285"/>
      <c r="V277" s="285"/>
      <c r="W277" s="83" t="s">
        <v>1166</v>
      </c>
      <c r="X277" s="64"/>
    </row>
    <row r="278" spans="1:24" ht="24" customHeight="1">
      <c r="A278" s="68" t="s">
        <v>1167</v>
      </c>
      <c r="B278" s="64" t="s">
        <v>144</v>
      </c>
      <c r="C278" s="65">
        <v>5</v>
      </c>
      <c r="D278" s="65"/>
      <c r="E278" s="65"/>
      <c r="F278" s="65" t="s">
        <v>32</v>
      </c>
      <c r="G278" s="64" t="s">
        <v>90</v>
      </c>
      <c r="H278" s="64" t="s">
        <v>1168</v>
      </c>
      <c r="I278" s="64">
        <v>638</v>
      </c>
      <c r="J278" s="64" t="s">
        <v>32</v>
      </c>
      <c r="K278" s="64" t="s">
        <v>540</v>
      </c>
      <c r="L278" s="64" t="s">
        <v>46</v>
      </c>
      <c r="M278" s="64"/>
      <c r="N278" s="64"/>
      <c r="O278" s="64"/>
      <c r="P278" s="64"/>
      <c r="Q278" s="280">
        <v>45979</v>
      </c>
      <c r="R278" s="280">
        <f>Q278+7</f>
        <v>45986</v>
      </c>
      <c r="S278" s="67"/>
      <c r="T278" s="67"/>
      <c r="U278" s="98"/>
      <c r="V278" s="98"/>
      <c r="W278" s="68" t="s">
        <v>1169</v>
      </c>
      <c r="X278" s="64"/>
    </row>
    <row r="279" spans="1:24" ht="24" customHeight="1">
      <c r="A279" s="68" t="s">
        <v>1170</v>
      </c>
      <c r="B279" s="64" t="s">
        <v>104</v>
      </c>
      <c r="C279" s="65">
        <v>5</v>
      </c>
      <c r="D279" s="65" t="s">
        <v>28</v>
      </c>
      <c r="E279" s="65" t="s">
        <v>42</v>
      </c>
      <c r="F279" s="65" t="s">
        <v>43</v>
      </c>
      <c r="G279" s="64" t="s">
        <v>952</v>
      </c>
      <c r="H279" s="312" t="s">
        <v>953</v>
      </c>
      <c r="I279" s="66"/>
      <c r="J279" s="64" t="s">
        <v>32</v>
      </c>
      <c r="K279" s="64" t="s">
        <v>33</v>
      </c>
      <c r="L279" s="64" t="s">
        <v>34</v>
      </c>
      <c r="M279" s="64"/>
      <c r="N279" s="64"/>
      <c r="O279" s="64"/>
      <c r="P279" s="64"/>
      <c r="Q279" s="280">
        <v>45792</v>
      </c>
      <c r="R279" s="280">
        <f>Q279+4</f>
        <v>45796</v>
      </c>
      <c r="S279" s="75" t="s">
        <v>260</v>
      </c>
      <c r="T279" s="75"/>
      <c r="U279" s="98"/>
      <c r="V279" s="98"/>
      <c r="W279" s="68" t="s">
        <v>1171</v>
      </c>
      <c r="X279" s="64"/>
    </row>
    <row r="280" spans="1:24" ht="24" customHeight="1">
      <c r="A280" s="68" t="s">
        <v>1172</v>
      </c>
      <c r="B280" s="78" t="s">
        <v>144</v>
      </c>
      <c r="C280" s="65">
        <v>5</v>
      </c>
      <c r="D280" s="65"/>
      <c r="E280" s="65" t="s">
        <v>415</v>
      </c>
      <c r="F280" s="65" t="s">
        <v>416</v>
      </c>
      <c r="G280" s="64" t="s">
        <v>1173</v>
      </c>
      <c r="H280" s="62" t="s">
        <v>1174</v>
      </c>
      <c r="I280" s="64"/>
      <c r="J280" s="64" t="s">
        <v>32</v>
      </c>
      <c r="K280" s="64" t="s">
        <v>33</v>
      </c>
      <c r="L280" s="64" t="s">
        <v>46</v>
      </c>
      <c r="M280" s="64"/>
      <c r="N280" s="64" t="s">
        <v>64</v>
      </c>
      <c r="O280" s="64"/>
      <c r="P280" s="64"/>
      <c r="Q280" s="280">
        <v>45789</v>
      </c>
      <c r="R280" s="280">
        <f>Q280+7</f>
        <v>45796</v>
      </c>
      <c r="S280" s="67"/>
      <c r="T280" s="67"/>
      <c r="U280" s="98"/>
      <c r="V280" s="98"/>
      <c r="W280" s="68" t="s">
        <v>1175</v>
      </c>
      <c r="X280" s="64"/>
    </row>
    <row r="281" spans="1:24" ht="38.1" customHeight="1">
      <c r="A281" s="68" t="s">
        <v>1176</v>
      </c>
      <c r="B281" s="64" t="s">
        <v>144</v>
      </c>
      <c r="C281" s="65">
        <v>5</v>
      </c>
      <c r="D281" s="65" t="s">
        <v>28</v>
      </c>
      <c r="E281" s="65" t="s">
        <v>42</v>
      </c>
      <c r="F281" s="65" t="s">
        <v>43</v>
      </c>
      <c r="G281" s="64"/>
      <c r="H281" s="66" t="s">
        <v>1177</v>
      </c>
      <c r="I281" s="66"/>
      <c r="J281" s="64" t="s">
        <v>32</v>
      </c>
      <c r="K281" s="64" t="s">
        <v>33</v>
      </c>
      <c r="L281" s="64" t="s">
        <v>111</v>
      </c>
      <c r="M281" s="64"/>
      <c r="N281" s="64"/>
      <c r="O281" s="64"/>
      <c r="P281" s="64"/>
      <c r="Q281" s="280">
        <v>45792</v>
      </c>
      <c r="R281" s="280">
        <f>Q281+6</f>
        <v>45798</v>
      </c>
      <c r="S281" s="67" t="s">
        <v>260</v>
      </c>
      <c r="T281" s="67"/>
      <c r="U281" s="98"/>
      <c r="V281" s="98"/>
      <c r="W281" s="104" t="s">
        <v>1178</v>
      </c>
      <c r="X281" s="64"/>
    </row>
    <row r="282" spans="1:24" ht="23.1" customHeight="1">
      <c r="A282" s="68" t="s">
        <v>1179</v>
      </c>
      <c r="B282" s="64" t="s">
        <v>144</v>
      </c>
      <c r="C282" s="65">
        <v>5</v>
      </c>
      <c r="D282" s="65" t="s">
        <v>28</v>
      </c>
      <c r="E282" s="65" t="s">
        <v>42</v>
      </c>
      <c r="F282" s="65" t="s">
        <v>43</v>
      </c>
      <c r="G282" s="64"/>
      <c r="H282" s="66" t="s">
        <v>1180</v>
      </c>
      <c r="I282" s="66"/>
      <c r="J282" s="64" t="s">
        <v>32</v>
      </c>
      <c r="K282" s="64" t="s">
        <v>33</v>
      </c>
      <c r="L282" s="64" t="s">
        <v>1181</v>
      </c>
      <c r="M282" s="64"/>
      <c r="N282" s="64"/>
      <c r="O282" s="64"/>
      <c r="P282" s="64"/>
      <c r="Q282" s="280">
        <v>45792</v>
      </c>
      <c r="R282" s="280">
        <f>Q282+7</f>
        <v>45799</v>
      </c>
      <c r="S282" s="67" t="s">
        <v>260</v>
      </c>
      <c r="T282" s="67"/>
      <c r="U282" s="98"/>
      <c r="V282" s="98"/>
      <c r="W282" s="104" t="s">
        <v>1182</v>
      </c>
      <c r="X282" s="64"/>
    </row>
    <row r="283" spans="1:24" ht="18.95" customHeight="1">
      <c r="A283" s="77" t="s">
        <v>1183</v>
      </c>
      <c r="B283" s="64" t="s">
        <v>144</v>
      </c>
      <c r="C283" s="65">
        <v>5</v>
      </c>
      <c r="D283" s="65"/>
      <c r="E283" s="65"/>
      <c r="F283" s="65" t="s">
        <v>416</v>
      </c>
      <c r="G283" s="64" t="s">
        <v>1184</v>
      </c>
      <c r="H283" s="64" t="s">
        <v>1185</v>
      </c>
      <c r="I283" s="64"/>
      <c r="J283" s="64" t="s">
        <v>32</v>
      </c>
      <c r="K283" s="64" t="s">
        <v>33</v>
      </c>
      <c r="L283" s="64" t="s">
        <v>46</v>
      </c>
      <c r="M283" s="64"/>
      <c r="N283" s="64" t="s">
        <v>64</v>
      </c>
      <c r="O283" s="64"/>
      <c r="P283" s="64"/>
      <c r="Q283" s="280">
        <v>45796</v>
      </c>
      <c r="R283" s="280">
        <f>Q283+7</f>
        <v>45803</v>
      </c>
      <c r="S283" s="67" t="s">
        <v>93</v>
      </c>
      <c r="T283" s="67"/>
      <c r="U283" s="98"/>
      <c r="V283" s="98"/>
      <c r="W283" s="68" t="s">
        <v>1186</v>
      </c>
      <c r="X283" s="64"/>
    </row>
    <row r="284" spans="1:24" ht="18.95" customHeight="1">
      <c r="A284" s="68" t="s">
        <v>1187</v>
      </c>
      <c r="B284" s="64" t="s">
        <v>144</v>
      </c>
      <c r="C284" s="65">
        <v>5</v>
      </c>
      <c r="D284" s="65" t="s">
        <v>41</v>
      </c>
      <c r="E284" s="65" t="s">
        <v>42</v>
      </c>
      <c r="F284" s="65" t="s">
        <v>43</v>
      </c>
      <c r="G284" s="64" t="s">
        <v>454</v>
      </c>
      <c r="H284" s="66" t="s">
        <v>1188</v>
      </c>
      <c r="I284" s="66"/>
      <c r="J284" s="64" t="s">
        <v>32</v>
      </c>
      <c r="K284" s="64" t="s">
        <v>33</v>
      </c>
      <c r="L284" s="64" t="s">
        <v>46</v>
      </c>
      <c r="M284" s="64"/>
      <c r="N284" s="64"/>
      <c r="O284" s="64"/>
      <c r="P284" s="64"/>
      <c r="Q284" s="280">
        <v>45796</v>
      </c>
      <c r="R284" s="280">
        <f>Q284+7</f>
        <v>45803</v>
      </c>
      <c r="S284" s="67"/>
      <c r="T284" s="67"/>
      <c r="U284" s="98"/>
      <c r="V284" s="98"/>
      <c r="W284" s="68" t="s">
        <v>1189</v>
      </c>
      <c r="X284" s="64"/>
    </row>
    <row r="285" spans="1:24" ht="38.1" customHeight="1">
      <c r="A285" s="68" t="s">
        <v>1190</v>
      </c>
      <c r="B285" s="64" t="s">
        <v>137</v>
      </c>
      <c r="C285" s="65">
        <v>5</v>
      </c>
      <c r="D285" s="65"/>
      <c r="E285" s="65" t="s">
        <v>1191</v>
      </c>
      <c r="F285" s="65"/>
      <c r="G285" s="64" t="s">
        <v>183</v>
      </c>
      <c r="H285" s="71" t="s">
        <v>1192</v>
      </c>
      <c r="I285" s="71"/>
      <c r="J285" s="64" t="s">
        <v>32</v>
      </c>
      <c r="K285" s="64" t="s">
        <v>547</v>
      </c>
      <c r="L285" s="64" t="s">
        <v>46</v>
      </c>
      <c r="M285" s="64" t="s">
        <v>121</v>
      </c>
      <c r="N285" s="64" t="s">
        <v>219</v>
      </c>
      <c r="O285" s="72"/>
      <c r="P285" s="72"/>
      <c r="Q285" s="280">
        <v>45798</v>
      </c>
      <c r="R285" s="280">
        <f>Q285+8</f>
        <v>45806</v>
      </c>
      <c r="S285" s="67"/>
      <c r="T285" s="67"/>
      <c r="U285" s="98"/>
      <c r="V285" s="98"/>
      <c r="W285" s="68" t="s">
        <v>1193</v>
      </c>
      <c r="X285" s="64"/>
    </row>
    <row r="286" spans="1:24" ht="24" customHeight="1">
      <c r="A286" s="68" t="s">
        <v>1194</v>
      </c>
      <c r="B286" s="64" t="s">
        <v>137</v>
      </c>
      <c r="C286" s="65">
        <v>5</v>
      </c>
      <c r="D286" s="65" t="s">
        <v>28</v>
      </c>
      <c r="E286" s="65"/>
      <c r="F286" s="65" t="s">
        <v>1195</v>
      </c>
      <c r="G286" s="64"/>
      <c r="H286" s="64" t="s">
        <v>1196</v>
      </c>
      <c r="I286" s="64"/>
      <c r="J286" s="64" t="s">
        <v>77</v>
      </c>
      <c r="K286" s="64" t="s">
        <v>315</v>
      </c>
      <c r="L286" s="64" t="s">
        <v>54</v>
      </c>
      <c r="M286" s="79"/>
      <c r="N286" s="79"/>
      <c r="O286" s="79"/>
      <c r="P286" s="79"/>
      <c r="Q286" s="280">
        <v>45775</v>
      </c>
      <c r="R286" s="280">
        <f>Q286+60</f>
        <v>45835</v>
      </c>
      <c r="S286" s="67" t="s">
        <v>260</v>
      </c>
      <c r="T286" s="67"/>
      <c r="U286" s="98"/>
      <c r="V286" s="98"/>
      <c r="W286" s="68" t="s">
        <v>1197</v>
      </c>
      <c r="X286" s="64"/>
    </row>
    <row r="287" spans="1:24" ht="18.95" customHeight="1">
      <c r="A287" s="68" t="s">
        <v>1198</v>
      </c>
      <c r="B287" s="64" t="s">
        <v>104</v>
      </c>
      <c r="C287" s="65">
        <v>5</v>
      </c>
      <c r="D287" s="65" t="s">
        <v>41</v>
      </c>
      <c r="E287" s="65" t="s">
        <v>36</v>
      </c>
      <c r="F287" s="65" t="s">
        <v>43</v>
      </c>
      <c r="G287" s="64" t="s">
        <v>656</v>
      </c>
      <c r="H287" s="66" t="s">
        <v>1199</v>
      </c>
      <c r="I287" s="66"/>
      <c r="J287" s="64" t="s">
        <v>32</v>
      </c>
      <c r="K287" s="64" t="s">
        <v>33</v>
      </c>
      <c r="L287" s="64" t="s">
        <v>111</v>
      </c>
      <c r="M287" s="64"/>
      <c r="N287" s="64"/>
      <c r="O287" s="64"/>
      <c r="P287" s="64"/>
      <c r="Q287" s="280">
        <v>45821</v>
      </c>
      <c r="R287" s="280">
        <f>Q287+14</f>
        <v>45835</v>
      </c>
      <c r="S287" s="75" t="s">
        <v>260</v>
      </c>
      <c r="T287" s="75"/>
      <c r="U287" s="98"/>
      <c r="V287" s="98"/>
      <c r="W287" s="68" t="s">
        <v>1200</v>
      </c>
      <c r="X287" s="64"/>
    </row>
    <row r="288" spans="1:24" ht="18.95" customHeight="1">
      <c r="A288" s="68" t="s">
        <v>1201</v>
      </c>
      <c r="B288" s="64" t="s">
        <v>199</v>
      </c>
      <c r="C288" s="65">
        <v>5</v>
      </c>
      <c r="D288" s="65"/>
      <c r="E288" s="65"/>
      <c r="F288" s="65"/>
      <c r="G288" s="64" t="s">
        <v>1202</v>
      </c>
      <c r="H288" s="64" t="s">
        <v>1203</v>
      </c>
      <c r="I288" s="64"/>
      <c r="J288" s="64" t="s">
        <v>61</v>
      </c>
      <c r="K288" s="64" t="s">
        <v>33</v>
      </c>
      <c r="L288" s="64" t="s">
        <v>186</v>
      </c>
      <c r="M288" s="64" t="s">
        <v>954</v>
      </c>
      <c r="N288" s="64" t="s">
        <v>64</v>
      </c>
      <c r="O288" s="64"/>
      <c r="P288" s="64"/>
      <c r="Q288" s="280">
        <v>45700</v>
      </c>
      <c r="R288" s="280">
        <v>45839</v>
      </c>
      <c r="S288" s="67"/>
      <c r="T288" s="67"/>
      <c r="U288" s="98"/>
      <c r="V288" s="98"/>
      <c r="W288" s="68" t="s">
        <v>1204</v>
      </c>
      <c r="X288" s="64"/>
    </row>
    <row r="289" spans="1:34" ht="18.95" customHeight="1">
      <c r="A289" s="253" t="s">
        <v>1205</v>
      </c>
      <c r="B289" s="64" t="s">
        <v>104</v>
      </c>
      <c r="C289" s="65">
        <v>5</v>
      </c>
      <c r="D289" s="65"/>
      <c r="E289" s="65"/>
      <c r="F289" s="65" t="s">
        <v>1206</v>
      </c>
      <c r="G289" s="64"/>
      <c r="H289" s="64" t="s">
        <v>1207</v>
      </c>
      <c r="I289" s="64">
        <v>200</v>
      </c>
      <c r="J289" s="64" t="s">
        <v>77</v>
      </c>
      <c r="K289" s="64" t="s">
        <v>33</v>
      </c>
      <c r="L289" s="64" t="s">
        <v>1208</v>
      </c>
      <c r="M289" s="64"/>
      <c r="N289" s="64"/>
      <c r="O289" s="64"/>
      <c r="P289" s="64"/>
      <c r="Q289" s="280">
        <v>45833</v>
      </c>
      <c r="R289" s="280">
        <f>Q289+10</f>
        <v>45843</v>
      </c>
      <c r="S289" s="75" t="s">
        <v>260</v>
      </c>
      <c r="T289" s="75"/>
      <c r="U289" s="284"/>
      <c r="V289" s="284"/>
      <c r="W289" s="68" t="s">
        <v>1209</v>
      </c>
      <c r="X289" s="64"/>
    </row>
    <row r="290" spans="1:34" ht="24" customHeight="1">
      <c r="A290" s="68" t="s">
        <v>1210</v>
      </c>
      <c r="B290" s="64" t="s">
        <v>144</v>
      </c>
      <c r="C290" s="65">
        <v>5</v>
      </c>
      <c r="D290" s="65"/>
      <c r="E290" s="65"/>
      <c r="F290" s="65" t="s">
        <v>1211</v>
      </c>
      <c r="G290" s="64"/>
      <c r="H290" s="64" t="s">
        <v>1212</v>
      </c>
      <c r="I290" s="64"/>
      <c r="J290" s="64" t="s">
        <v>1213</v>
      </c>
      <c r="K290" s="64"/>
      <c r="L290" s="64" t="s">
        <v>1017</v>
      </c>
      <c r="M290" s="79"/>
      <c r="N290" s="79"/>
      <c r="O290" s="79"/>
      <c r="P290" s="79"/>
      <c r="Q290" s="280">
        <v>45817</v>
      </c>
      <c r="R290" s="280">
        <f>Q290+30</f>
        <v>45847</v>
      </c>
      <c r="S290" s="75" t="s">
        <v>260</v>
      </c>
      <c r="T290" s="75"/>
      <c r="U290" s="98"/>
      <c r="V290" s="98"/>
      <c r="W290" s="68" t="s">
        <v>1214</v>
      </c>
      <c r="X290" s="64"/>
    </row>
    <row r="291" spans="1:34" ht="48" customHeight="1">
      <c r="A291" s="68" t="s">
        <v>1215</v>
      </c>
      <c r="B291" s="64" t="s">
        <v>144</v>
      </c>
      <c r="C291" s="65">
        <v>5</v>
      </c>
      <c r="D291" s="65"/>
      <c r="E291" s="65"/>
      <c r="F291" s="65" t="s">
        <v>32</v>
      </c>
      <c r="G291" s="64" t="s">
        <v>1216</v>
      </c>
      <c r="H291" s="71" t="s">
        <v>1217</v>
      </c>
      <c r="I291" s="71"/>
      <c r="J291" s="64" t="s">
        <v>32</v>
      </c>
      <c r="K291" s="64" t="s">
        <v>53</v>
      </c>
      <c r="L291" s="64" t="s">
        <v>80</v>
      </c>
      <c r="M291" s="64"/>
      <c r="N291" s="64"/>
      <c r="O291" s="72"/>
      <c r="P291" s="72"/>
      <c r="Q291" s="280">
        <v>45852</v>
      </c>
      <c r="R291" s="280">
        <f xml:space="preserve"> Q291+7</f>
        <v>45859</v>
      </c>
      <c r="S291" s="67" t="s">
        <v>37</v>
      </c>
      <c r="T291" s="67"/>
      <c r="U291" s="98"/>
      <c r="V291" s="98"/>
      <c r="W291" s="68" t="s">
        <v>1218</v>
      </c>
      <c r="X291" s="64"/>
    </row>
    <row r="292" spans="1:34" ht="18.95" customHeight="1">
      <c r="A292" s="91" t="s">
        <v>1219</v>
      </c>
      <c r="B292" s="64" t="s">
        <v>144</v>
      </c>
      <c r="C292" s="65">
        <v>5</v>
      </c>
      <c r="D292" s="65" t="s">
        <v>421</v>
      </c>
      <c r="E292" s="65"/>
      <c r="F292" s="65" t="s">
        <v>247</v>
      </c>
      <c r="G292" s="64" t="s">
        <v>1220</v>
      </c>
      <c r="H292" s="64"/>
      <c r="I292" s="64"/>
      <c r="J292" s="64" t="s">
        <v>32</v>
      </c>
      <c r="K292" s="64" t="s">
        <v>33</v>
      </c>
      <c r="L292" s="64"/>
      <c r="M292" s="64"/>
      <c r="N292" s="64"/>
      <c r="O292" s="64"/>
      <c r="P292" s="64"/>
      <c r="Q292" s="280">
        <v>45852</v>
      </c>
      <c r="R292" s="280">
        <f>Q292+7</f>
        <v>45859</v>
      </c>
      <c r="S292" s="67" t="s">
        <v>37</v>
      </c>
      <c r="T292" s="67"/>
      <c r="U292" s="284"/>
      <c r="V292" s="284"/>
      <c r="W292" s="68" t="s">
        <v>1221</v>
      </c>
      <c r="X292" s="64"/>
    </row>
    <row r="293" spans="1:34" ht="225" customHeight="1">
      <c r="A293" s="250" t="s">
        <v>1222</v>
      </c>
      <c r="B293" s="64" t="s">
        <v>144</v>
      </c>
      <c r="C293" s="65">
        <v>5</v>
      </c>
      <c r="D293" s="65" t="s">
        <v>1223</v>
      </c>
      <c r="E293" s="65"/>
      <c r="F293" s="65"/>
      <c r="G293" s="64" t="s">
        <v>1224</v>
      </c>
      <c r="H293" s="66" t="s">
        <v>1225</v>
      </c>
      <c r="I293" s="66"/>
      <c r="J293" s="64" t="s">
        <v>32</v>
      </c>
      <c r="K293" s="64" t="s">
        <v>224</v>
      </c>
      <c r="L293" s="64"/>
      <c r="M293" s="64"/>
      <c r="N293" s="64"/>
      <c r="O293" s="72"/>
      <c r="P293" s="72"/>
      <c r="Q293" s="280">
        <v>45854</v>
      </c>
      <c r="R293" s="280">
        <f>Q293+7</f>
        <v>45861</v>
      </c>
      <c r="S293" s="67" t="s">
        <v>37</v>
      </c>
      <c r="T293" s="67"/>
      <c r="U293" s="98"/>
      <c r="V293" s="98"/>
      <c r="W293" s="68" t="s">
        <v>1226</v>
      </c>
      <c r="X293" s="74"/>
    </row>
    <row r="294" spans="1:34" ht="192" customHeight="1">
      <c r="A294" s="68" t="s">
        <v>1227</v>
      </c>
      <c r="B294" s="78" t="s">
        <v>144</v>
      </c>
      <c r="C294" s="65">
        <v>5</v>
      </c>
      <c r="D294" s="65"/>
      <c r="E294" s="65"/>
      <c r="F294" s="65" t="s">
        <v>416</v>
      </c>
      <c r="G294" s="64" t="s">
        <v>454</v>
      </c>
      <c r="H294" s="64" t="s">
        <v>1228</v>
      </c>
      <c r="I294" s="64"/>
      <c r="J294" s="64" t="s">
        <v>32</v>
      </c>
      <c r="K294" s="64" t="s">
        <v>33</v>
      </c>
      <c r="L294" s="64" t="s">
        <v>1229</v>
      </c>
      <c r="M294" s="64"/>
      <c r="N294" s="64" t="s">
        <v>64</v>
      </c>
      <c r="O294" s="64"/>
      <c r="P294" s="64"/>
      <c r="Q294" s="280">
        <v>45854</v>
      </c>
      <c r="R294" s="280">
        <f>Q294+7</f>
        <v>45861</v>
      </c>
      <c r="S294" s="67" t="s">
        <v>93</v>
      </c>
      <c r="T294" s="67"/>
      <c r="U294" s="98"/>
      <c r="V294" s="98"/>
      <c r="W294" s="68" t="s">
        <v>1230</v>
      </c>
      <c r="X294" s="64"/>
    </row>
    <row r="295" spans="1:34" ht="24" customHeight="1">
      <c r="A295" s="68" t="s">
        <v>1231</v>
      </c>
      <c r="B295" s="64" t="s">
        <v>144</v>
      </c>
      <c r="C295" s="65">
        <v>5</v>
      </c>
      <c r="D295" s="65"/>
      <c r="E295" s="65"/>
      <c r="F295" s="65" t="s">
        <v>243</v>
      </c>
      <c r="G295" s="64"/>
      <c r="H295" s="66" t="s">
        <v>1232</v>
      </c>
      <c r="I295" s="66"/>
      <c r="J295" s="64" t="s">
        <v>32</v>
      </c>
      <c r="K295" s="64" t="s">
        <v>33</v>
      </c>
      <c r="L295" s="64" t="s">
        <v>111</v>
      </c>
      <c r="M295" s="64"/>
      <c r="N295" s="64"/>
      <c r="O295" s="64"/>
      <c r="P295" s="64"/>
      <c r="Q295" s="280">
        <v>45856</v>
      </c>
      <c r="R295" s="280">
        <f>Q295+7</f>
        <v>45863</v>
      </c>
      <c r="S295" s="67" t="s">
        <v>37</v>
      </c>
      <c r="T295" s="67"/>
      <c r="U295" s="98"/>
      <c r="V295" s="98"/>
      <c r="W295" s="68" t="s">
        <v>1233</v>
      </c>
      <c r="X295" s="64"/>
    </row>
    <row r="296" spans="1:34" ht="24" customHeight="1">
      <c r="A296" s="68" t="s">
        <v>1234</v>
      </c>
      <c r="B296" s="64" t="s">
        <v>144</v>
      </c>
      <c r="C296" s="65">
        <v>5</v>
      </c>
      <c r="D296" s="65"/>
      <c r="E296" s="65"/>
      <c r="F296" s="65"/>
      <c r="G296" s="64"/>
      <c r="H296" s="64" t="s">
        <v>1235</v>
      </c>
      <c r="I296" s="64"/>
      <c r="J296" s="64" t="s">
        <v>32</v>
      </c>
      <c r="K296" s="64" t="s">
        <v>311</v>
      </c>
      <c r="L296" s="64" t="s">
        <v>111</v>
      </c>
      <c r="M296" s="64"/>
      <c r="N296" s="64"/>
      <c r="O296" s="64"/>
      <c r="P296" s="64"/>
      <c r="Q296" s="280">
        <v>45853</v>
      </c>
      <c r="R296" s="280">
        <f>Q296+21</f>
        <v>45874</v>
      </c>
      <c r="S296" s="67" t="s">
        <v>37</v>
      </c>
      <c r="T296" s="67"/>
      <c r="U296" s="98"/>
      <c r="V296" s="98"/>
      <c r="W296" s="68"/>
      <c r="X296" s="64"/>
    </row>
    <row r="297" spans="1:34" ht="24" customHeight="1">
      <c r="A297" s="251" t="s">
        <v>1236</v>
      </c>
      <c r="B297" s="64" t="s">
        <v>144</v>
      </c>
      <c r="C297" s="65">
        <v>5</v>
      </c>
      <c r="D297" s="65"/>
      <c r="E297" s="65"/>
      <c r="F297" s="65" t="s">
        <v>243</v>
      </c>
      <c r="G297" s="64" t="s">
        <v>1237</v>
      </c>
      <c r="H297" s="66" t="s">
        <v>1238</v>
      </c>
      <c r="I297" s="66"/>
      <c r="J297" s="64" t="s">
        <v>32</v>
      </c>
      <c r="K297" s="64" t="s">
        <v>341</v>
      </c>
      <c r="L297" s="64" t="s">
        <v>186</v>
      </c>
      <c r="M297" s="64"/>
      <c r="N297" s="64"/>
      <c r="O297" s="64"/>
      <c r="P297" s="64"/>
      <c r="Q297" s="280">
        <v>45861</v>
      </c>
      <c r="R297" s="280">
        <f>Q297+14</f>
        <v>45875</v>
      </c>
      <c r="S297" s="75" t="s">
        <v>37</v>
      </c>
      <c r="T297" s="75"/>
      <c r="U297" s="98"/>
      <c r="V297" s="98"/>
      <c r="W297" s="166" t="s">
        <v>1239</v>
      </c>
      <c r="X297" s="64"/>
    </row>
    <row r="298" spans="1:34" ht="50.1" customHeight="1">
      <c r="A298" s="68" t="s">
        <v>1240</v>
      </c>
      <c r="B298" s="64" t="s">
        <v>144</v>
      </c>
      <c r="C298" s="65">
        <v>5</v>
      </c>
      <c r="D298" s="65"/>
      <c r="E298" s="65"/>
      <c r="F298" s="65" t="s">
        <v>347</v>
      </c>
      <c r="G298" s="64"/>
      <c r="H298" s="71" t="s">
        <v>1241</v>
      </c>
      <c r="I298" s="71"/>
      <c r="J298" s="64" t="s">
        <v>32</v>
      </c>
      <c r="K298" s="64" t="s">
        <v>33</v>
      </c>
      <c r="L298" s="64" t="s">
        <v>1017</v>
      </c>
      <c r="M298" s="64"/>
      <c r="N298" s="64"/>
      <c r="O298" s="72"/>
      <c r="P298" s="72"/>
      <c r="Q298" s="280">
        <v>45881</v>
      </c>
      <c r="R298" s="280">
        <f>Q298+14</f>
        <v>45895</v>
      </c>
      <c r="S298" s="67"/>
      <c r="T298" s="67"/>
      <c r="U298" s="98"/>
      <c r="V298" s="98"/>
      <c r="W298" s="68" t="s">
        <v>1242</v>
      </c>
      <c r="X298" s="64"/>
    </row>
    <row r="299" spans="1:34" ht="24" customHeight="1">
      <c r="A299" s="68" t="s">
        <v>1243</v>
      </c>
      <c r="B299" s="64" t="s">
        <v>144</v>
      </c>
      <c r="C299" s="65">
        <v>5</v>
      </c>
      <c r="D299" s="65"/>
      <c r="E299" s="65"/>
      <c r="F299" s="65"/>
      <c r="G299" s="79" t="s">
        <v>1244</v>
      </c>
      <c r="H299" s="79" t="s">
        <v>1245</v>
      </c>
      <c r="I299" s="79"/>
      <c r="J299" s="79" t="s">
        <v>32</v>
      </c>
      <c r="K299" s="79" t="s">
        <v>1246</v>
      </c>
      <c r="L299" s="79" t="s">
        <v>46</v>
      </c>
      <c r="M299" s="79" t="s">
        <v>780</v>
      </c>
      <c r="N299" s="79"/>
      <c r="O299" s="79"/>
      <c r="P299" s="79"/>
      <c r="Q299" s="280">
        <v>45917</v>
      </c>
      <c r="R299" s="280">
        <f>Q299+30</f>
        <v>45947</v>
      </c>
      <c r="S299" s="75" t="s">
        <v>260</v>
      </c>
      <c r="T299" s="75"/>
      <c r="U299" s="285"/>
      <c r="V299" s="285"/>
      <c r="W299" s="83" t="s">
        <v>1247</v>
      </c>
      <c r="X299" s="79"/>
    </row>
    <row r="300" spans="1:34" ht="72.95" customHeight="1">
      <c r="A300" s="68" t="s">
        <v>1248</v>
      </c>
      <c r="B300" s="64" t="s">
        <v>144</v>
      </c>
      <c r="C300" s="65">
        <v>5</v>
      </c>
      <c r="D300" s="65"/>
      <c r="E300" s="65"/>
      <c r="F300" s="65"/>
      <c r="G300" s="64"/>
      <c r="H300" s="66" t="s">
        <v>1249</v>
      </c>
      <c r="I300" s="66"/>
      <c r="J300" s="64" t="s">
        <v>32</v>
      </c>
      <c r="K300" s="64" t="s">
        <v>33</v>
      </c>
      <c r="L300" s="64" t="s">
        <v>111</v>
      </c>
      <c r="M300" s="64"/>
      <c r="N300" s="64"/>
      <c r="O300" s="64"/>
      <c r="P300" s="64"/>
      <c r="Q300" s="280">
        <v>45861</v>
      </c>
      <c r="R300" s="280">
        <f>Q300+90</f>
        <v>45951</v>
      </c>
      <c r="S300" s="67" t="s">
        <v>37</v>
      </c>
      <c r="T300" s="67"/>
      <c r="U300" s="98"/>
      <c r="V300" s="98"/>
      <c r="W300" s="68" t="s">
        <v>1250</v>
      </c>
      <c r="X300" s="64"/>
    </row>
    <row r="301" spans="1:34" ht="48" customHeight="1">
      <c r="A301" s="68" t="s">
        <v>1251</v>
      </c>
      <c r="B301" s="64" t="s">
        <v>144</v>
      </c>
      <c r="C301" s="65">
        <v>5</v>
      </c>
      <c r="D301" s="65" t="s">
        <v>1252</v>
      </c>
      <c r="E301" s="65"/>
      <c r="F301" s="65"/>
      <c r="G301" s="64"/>
      <c r="H301" s="66" t="s">
        <v>1253</v>
      </c>
      <c r="I301" s="66"/>
      <c r="J301" s="64" t="s">
        <v>61</v>
      </c>
      <c r="K301" s="64" t="s">
        <v>1254</v>
      </c>
      <c r="L301" s="64"/>
      <c r="M301" s="64"/>
      <c r="N301" s="64"/>
      <c r="O301" s="64"/>
      <c r="P301" s="64"/>
      <c r="Q301" s="280">
        <v>45694</v>
      </c>
      <c r="R301" s="280"/>
      <c r="S301" s="67"/>
      <c r="T301" s="67"/>
      <c r="U301" s="98"/>
      <c r="V301" s="98"/>
      <c r="W301" s="68" t="s">
        <v>1255</v>
      </c>
      <c r="X301" s="64"/>
      <c r="AH301" s="62" t="s">
        <v>144</v>
      </c>
    </row>
    <row r="302" spans="1:34" ht="48" customHeight="1">
      <c r="A302" s="68" t="s">
        <v>1256</v>
      </c>
      <c r="B302" s="64" t="s">
        <v>1257</v>
      </c>
      <c r="C302" s="65">
        <v>5</v>
      </c>
      <c r="D302" s="65"/>
      <c r="E302" s="65"/>
      <c r="F302" s="65"/>
      <c r="G302" s="64"/>
      <c r="H302" s="64" t="s">
        <v>1258</v>
      </c>
      <c r="I302" s="64"/>
      <c r="J302" s="64" t="s">
        <v>264</v>
      </c>
      <c r="K302" s="64"/>
      <c r="L302" s="64"/>
      <c r="M302" s="64"/>
      <c r="N302" s="64"/>
      <c r="O302" s="64"/>
      <c r="P302" s="64"/>
      <c r="Q302" s="280"/>
      <c r="R302" s="280"/>
      <c r="S302" s="67"/>
      <c r="T302" s="67"/>
      <c r="U302" s="98"/>
      <c r="V302" s="98"/>
      <c r="W302" s="68" t="s">
        <v>1259</v>
      </c>
      <c r="X302" s="64"/>
    </row>
    <row r="303" spans="1:34" ht="24" customHeight="1">
      <c r="A303" s="68" t="s">
        <v>1260</v>
      </c>
      <c r="B303" s="64" t="s">
        <v>199</v>
      </c>
      <c r="C303" s="65">
        <v>5</v>
      </c>
      <c r="D303" s="65"/>
      <c r="E303" s="65"/>
      <c r="F303" s="65"/>
      <c r="G303" s="64" t="s">
        <v>1261</v>
      </c>
      <c r="H303" s="64" t="s">
        <v>1262</v>
      </c>
      <c r="I303" s="64"/>
      <c r="J303" s="64" t="s">
        <v>32</v>
      </c>
      <c r="K303" s="64" t="s">
        <v>756</v>
      </c>
      <c r="L303" s="64" t="s">
        <v>34</v>
      </c>
      <c r="M303" s="64" t="s">
        <v>706</v>
      </c>
      <c r="N303" s="64" t="s">
        <v>64</v>
      </c>
      <c r="O303" s="64"/>
      <c r="P303" s="64"/>
      <c r="Q303" s="280">
        <v>45448</v>
      </c>
      <c r="R303" s="280"/>
      <c r="S303" s="67"/>
      <c r="T303" s="67"/>
      <c r="U303" s="98"/>
      <c r="V303" s="98"/>
      <c r="W303" s="68"/>
      <c r="X303" s="74"/>
    </row>
    <row r="304" spans="1:34" ht="18.95" customHeight="1">
      <c r="A304" s="68" t="s">
        <v>1263</v>
      </c>
      <c r="B304" s="64" t="s">
        <v>144</v>
      </c>
      <c r="C304" s="65">
        <v>5</v>
      </c>
      <c r="D304" s="65"/>
      <c r="E304" s="65"/>
      <c r="F304" s="65"/>
      <c r="G304" s="64" t="s">
        <v>1264</v>
      </c>
      <c r="H304" s="64" t="s">
        <v>1265</v>
      </c>
      <c r="I304" s="64"/>
      <c r="J304" s="64" t="s">
        <v>32</v>
      </c>
      <c r="K304" s="64" t="s">
        <v>33</v>
      </c>
      <c r="L304" s="64" t="s">
        <v>1266</v>
      </c>
      <c r="M304" s="64" t="s">
        <v>1267</v>
      </c>
      <c r="N304" s="64" t="s">
        <v>42</v>
      </c>
      <c r="O304" s="72">
        <v>45340</v>
      </c>
      <c r="P304" s="64" t="s">
        <v>82</v>
      </c>
      <c r="Q304" s="280">
        <v>45340</v>
      </c>
      <c r="R304" s="280"/>
      <c r="S304" s="67"/>
      <c r="T304" s="67"/>
      <c r="U304" s="98"/>
      <c r="V304" s="98"/>
      <c r="W304" s="68"/>
      <c r="X304" s="64"/>
    </row>
    <row r="305" spans="1:24" ht="18.95" customHeight="1">
      <c r="A305" s="68" t="s">
        <v>1268</v>
      </c>
      <c r="B305" s="64" t="s">
        <v>144</v>
      </c>
      <c r="C305" s="65">
        <v>5</v>
      </c>
      <c r="D305" s="65"/>
      <c r="E305" s="65"/>
      <c r="F305" s="65"/>
      <c r="G305" s="64" t="s">
        <v>443</v>
      </c>
      <c r="H305" s="64" t="s">
        <v>1269</v>
      </c>
      <c r="I305" s="64"/>
      <c r="J305" s="64" t="s">
        <v>32</v>
      </c>
      <c r="K305" s="64" t="s">
        <v>33</v>
      </c>
      <c r="L305" s="64" t="s">
        <v>1270</v>
      </c>
      <c r="M305" s="64" t="s">
        <v>134</v>
      </c>
      <c r="N305" s="64" t="s">
        <v>64</v>
      </c>
      <c r="O305" s="64"/>
      <c r="P305" s="64"/>
      <c r="Q305" s="280">
        <v>45345</v>
      </c>
      <c r="R305" s="280"/>
      <c r="S305" s="67"/>
      <c r="T305" s="67"/>
      <c r="U305" s="98"/>
      <c r="V305" s="98"/>
      <c r="W305" s="68"/>
      <c r="X305" s="64"/>
    </row>
    <row r="306" spans="1:24" ht="24" customHeight="1">
      <c r="A306" s="83" t="s">
        <v>1271</v>
      </c>
      <c r="B306" s="64" t="s">
        <v>137</v>
      </c>
      <c r="C306" s="65">
        <v>5</v>
      </c>
      <c r="D306" s="65"/>
      <c r="E306" s="65"/>
      <c r="F306" s="65"/>
      <c r="G306" s="79" t="s">
        <v>550</v>
      </c>
      <c r="H306" s="79" t="s">
        <v>1272</v>
      </c>
      <c r="I306" s="79"/>
      <c r="J306" s="79" t="s">
        <v>61</v>
      </c>
      <c r="K306" s="79" t="s">
        <v>756</v>
      </c>
      <c r="L306" s="79" t="s">
        <v>186</v>
      </c>
      <c r="M306" s="79" t="s">
        <v>275</v>
      </c>
      <c r="N306" s="79"/>
      <c r="O306" s="79"/>
      <c r="P306" s="79"/>
      <c r="Q306" s="280">
        <v>45694</v>
      </c>
      <c r="R306" s="280"/>
      <c r="S306" s="82"/>
      <c r="T306" s="82"/>
      <c r="U306" s="285"/>
      <c r="V306" s="285"/>
      <c r="W306" s="83" t="s">
        <v>1273</v>
      </c>
      <c r="X306" s="79"/>
    </row>
    <row r="307" spans="1:24" ht="24" customHeight="1">
      <c r="A307" s="68" t="s">
        <v>1274</v>
      </c>
      <c r="B307" s="64" t="s">
        <v>144</v>
      </c>
      <c r="C307" s="65">
        <v>5</v>
      </c>
      <c r="D307" s="65"/>
      <c r="E307" s="65"/>
      <c r="F307" s="65"/>
      <c r="G307" s="64" t="s">
        <v>1275</v>
      </c>
      <c r="H307" s="64" t="s">
        <v>1276</v>
      </c>
      <c r="I307" s="64"/>
      <c r="J307" s="64" t="s">
        <v>32</v>
      </c>
      <c r="K307" s="64" t="s">
        <v>33</v>
      </c>
      <c r="L307" s="64" t="s">
        <v>1266</v>
      </c>
      <c r="M307" s="64" t="s">
        <v>134</v>
      </c>
      <c r="N307" s="64" t="s">
        <v>36</v>
      </c>
      <c r="O307" s="64"/>
      <c r="P307" s="64"/>
      <c r="Q307" s="280">
        <v>45347</v>
      </c>
      <c r="R307" s="280"/>
      <c r="S307" s="67"/>
      <c r="T307" s="67"/>
      <c r="U307" s="98"/>
      <c r="V307" s="98"/>
      <c r="W307" s="68"/>
      <c r="X307" s="64"/>
    </row>
    <row r="308" spans="1:24" ht="41.1" customHeight="1">
      <c r="A308" s="68" t="s">
        <v>1277</v>
      </c>
      <c r="B308" s="64" t="s">
        <v>144</v>
      </c>
      <c r="C308" s="65">
        <v>5</v>
      </c>
      <c r="D308" s="65"/>
      <c r="E308" s="65"/>
      <c r="F308" s="65"/>
      <c r="G308" s="64" t="s">
        <v>454</v>
      </c>
      <c r="H308" s="64" t="s">
        <v>1278</v>
      </c>
      <c r="I308" s="64"/>
      <c r="J308" s="64" t="s">
        <v>32</v>
      </c>
      <c r="K308" s="64" t="s">
        <v>33</v>
      </c>
      <c r="L308" s="64" t="s">
        <v>588</v>
      </c>
      <c r="M308" s="64" t="s">
        <v>1279</v>
      </c>
      <c r="N308" s="64"/>
      <c r="O308" s="64"/>
      <c r="P308" s="64"/>
      <c r="Q308" s="280"/>
      <c r="R308" s="280"/>
      <c r="S308" s="67"/>
      <c r="T308" s="67"/>
      <c r="U308" s="98"/>
      <c r="V308" s="98"/>
      <c r="W308" s="68"/>
      <c r="X308" s="64"/>
    </row>
    <row r="309" spans="1:24" ht="138" customHeight="1">
      <c r="A309" s="252" t="s">
        <v>1280</v>
      </c>
      <c r="B309" s="64" t="s">
        <v>268</v>
      </c>
      <c r="C309" s="65">
        <v>5</v>
      </c>
      <c r="D309" s="65"/>
      <c r="E309" s="65"/>
      <c r="F309" s="65"/>
      <c r="G309" s="64" t="s">
        <v>1281</v>
      </c>
      <c r="H309" s="64" t="s">
        <v>1282</v>
      </c>
      <c r="I309" s="64"/>
      <c r="J309" s="64" t="s">
        <v>32</v>
      </c>
      <c r="K309" s="64" t="s">
        <v>33</v>
      </c>
      <c r="L309" s="64"/>
      <c r="M309" s="64"/>
      <c r="N309" s="64"/>
      <c r="O309" s="64"/>
      <c r="P309" s="64"/>
      <c r="Q309" s="280">
        <v>45733</v>
      </c>
      <c r="R309" s="280"/>
      <c r="S309" s="80"/>
      <c r="T309" s="80"/>
      <c r="U309" s="288"/>
      <c r="V309" s="288"/>
      <c r="W309" s="94" t="s">
        <v>1283</v>
      </c>
      <c r="X309" s="64"/>
    </row>
    <row r="310" spans="1:24" ht="48" customHeight="1">
      <c r="A310" s="68" t="s">
        <v>1284</v>
      </c>
      <c r="B310" s="64" t="s">
        <v>268</v>
      </c>
      <c r="C310" s="65">
        <v>5</v>
      </c>
      <c r="D310" s="65" t="s">
        <v>671</v>
      </c>
      <c r="E310" s="65"/>
      <c r="F310" s="65" t="s">
        <v>416</v>
      </c>
      <c r="G310" s="64" t="s">
        <v>90</v>
      </c>
      <c r="H310" s="64" t="s">
        <v>1285</v>
      </c>
      <c r="I310" s="64"/>
      <c r="J310" s="64" t="s">
        <v>32</v>
      </c>
      <c r="K310" s="64" t="s">
        <v>33</v>
      </c>
      <c r="L310" s="64" t="s">
        <v>46</v>
      </c>
      <c r="M310" s="64" t="s">
        <v>1286</v>
      </c>
      <c r="N310" s="64" t="s">
        <v>64</v>
      </c>
      <c r="O310" s="64"/>
      <c r="P310" s="64"/>
      <c r="Q310" s="280"/>
      <c r="R310" s="280"/>
      <c r="S310" s="76"/>
      <c r="T310" s="76"/>
      <c r="U310" s="289"/>
      <c r="V310" s="289"/>
      <c r="W310" s="68" t="s">
        <v>1287</v>
      </c>
      <c r="X310" s="64"/>
    </row>
    <row r="311" spans="1:24" ht="48" customHeight="1">
      <c r="A311" s="68" t="s">
        <v>1288</v>
      </c>
      <c r="B311" s="64" t="s">
        <v>199</v>
      </c>
      <c r="C311" s="65">
        <v>4</v>
      </c>
      <c r="D311" s="65" t="s">
        <v>1289</v>
      </c>
      <c r="E311" s="65"/>
      <c r="F311" s="65" t="s">
        <v>32</v>
      </c>
      <c r="G311" s="64"/>
      <c r="H311" s="71" t="s">
        <v>319</v>
      </c>
      <c r="I311" s="71"/>
      <c r="J311" s="64" t="s">
        <v>32</v>
      </c>
      <c r="K311" s="64" t="s">
        <v>1254</v>
      </c>
      <c r="L311" s="64" t="s">
        <v>320</v>
      </c>
      <c r="M311" s="64"/>
      <c r="N311" s="64"/>
      <c r="O311" s="72"/>
      <c r="P311" s="72" t="s">
        <v>462</v>
      </c>
      <c r="Q311" s="280">
        <v>45992</v>
      </c>
      <c r="R311" s="280">
        <f>Q311+90</f>
        <v>46082</v>
      </c>
      <c r="S311" s="67" t="s">
        <v>37</v>
      </c>
      <c r="T311" s="67"/>
      <c r="U311" s="98"/>
      <c r="V311" s="98"/>
      <c r="W311" s="68" t="s">
        <v>1290</v>
      </c>
      <c r="X311" s="64"/>
    </row>
    <row r="312" spans="1:24" ht="57" customHeight="1">
      <c r="A312" s="68" t="s">
        <v>1291</v>
      </c>
      <c r="B312" s="64" t="s">
        <v>144</v>
      </c>
      <c r="C312" s="65">
        <v>4</v>
      </c>
      <c r="D312" s="65"/>
      <c r="E312" s="65"/>
      <c r="F312" s="65"/>
      <c r="G312" s="64" t="s">
        <v>1292</v>
      </c>
      <c r="H312" s="64" t="s">
        <v>1293</v>
      </c>
      <c r="I312" s="64"/>
      <c r="J312" s="64" t="s">
        <v>32</v>
      </c>
      <c r="K312" s="64" t="s">
        <v>33</v>
      </c>
      <c r="L312" s="64" t="s">
        <v>34</v>
      </c>
      <c r="M312" s="64" t="s">
        <v>1294</v>
      </c>
      <c r="N312" s="64" t="s">
        <v>64</v>
      </c>
      <c r="O312" s="64"/>
      <c r="P312" s="64"/>
      <c r="Q312" s="280">
        <v>45340</v>
      </c>
      <c r="R312" s="280">
        <f t="shared" ref="R312:R320" si="3">Q312+4</f>
        <v>45344</v>
      </c>
      <c r="S312" s="67"/>
      <c r="T312" s="67"/>
      <c r="U312" s="98"/>
      <c r="V312" s="98"/>
      <c r="W312" s="68"/>
      <c r="X312" s="64"/>
    </row>
    <row r="313" spans="1:24" ht="23.1" customHeight="1">
      <c r="A313" s="68" t="s">
        <v>1295</v>
      </c>
      <c r="B313" s="64" t="s">
        <v>144</v>
      </c>
      <c r="C313" s="65">
        <v>4</v>
      </c>
      <c r="D313" s="65"/>
      <c r="E313" s="65"/>
      <c r="F313" s="65"/>
      <c r="G313" s="64" t="s">
        <v>488</v>
      </c>
      <c r="H313" s="64" t="s">
        <v>1296</v>
      </c>
      <c r="I313" s="64"/>
      <c r="J313" s="64" t="s">
        <v>32</v>
      </c>
      <c r="K313" s="64" t="s">
        <v>33</v>
      </c>
      <c r="L313" s="64" t="s">
        <v>71</v>
      </c>
      <c r="M313" s="64" t="s">
        <v>1294</v>
      </c>
      <c r="N313" s="64" t="s">
        <v>64</v>
      </c>
      <c r="O313" s="64"/>
      <c r="P313" s="64"/>
      <c r="Q313" s="280">
        <v>45344</v>
      </c>
      <c r="R313" s="280">
        <f t="shared" si="3"/>
        <v>45348</v>
      </c>
      <c r="S313" s="67"/>
      <c r="T313" s="67"/>
      <c r="U313" s="98"/>
      <c r="V313" s="98"/>
      <c r="W313" s="68"/>
      <c r="X313" s="64"/>
    </row>
    <row r="314" spans="1:24" ht="0.95" customHeight="1">
      <c r="A314" s="68" t="s">
        <v>1297</v>
      </c>
      <c r="B314" s="64" t="s">
        <v>144</v>
      </c>
      <c r="C314" s="65">
        <v>4</v>
      </c>
      <c r="D314" s="65"/>
      <c r="E314" s="65"/>
      <c r="F314" s="65"/>
      <c r="G314" s="64" t="s">
        <v>1298</v>
      </c>
      <c r="H314" s="64" t="s">
        <v>1299</v>
      </c>
      <c r="I314" s="64"/>
      <c r="J314" s="64" t="s">
        <v>32</v>
      </c>
      <c r="K314" s="64" t="s">
        <v>33</v>
      </c>
      <c r="L314" s="64" t="s">
        <v>71</v>
      </c>
      <c r="M314" s="64" t="s">
        <v>753</v>
      </c>
      <c r="N314" s="64" t="s">
        <v>64</v>
      </c>
      <c r="O314" s="64"/>
      <c r="P314" s="64"/>
      <c r="Q314" s="280">
        <v>45344</v>
      </c>
      <c r="R314" s="280">
        <f t="shared" si="3"/>
        <v>45348</v>
      </c>
      <c r="S314" s="67"/>
      <c r="T314" s="67"/>
      <c r="U314" s="98"/>
      <c r="V314" s="98"/>
      <c r="W314" s="68"/>
      <c r="X314" s="64"/>
    </row>
    <row r="315" spans="1:24" ht="57" customHeight="1">
      <c r="A315" s="68" t="s">
        <v>1300</v>
      </c>
      <c r="B315" s="64" t="s">
        <v>144</v>
      </c>
      <c r="C315" s="65">
        <v>4</v>
      </c>
      <c r="D315" s="65"/>
      <c r="E315" s="65"/>
      <c r="F315" s="65"/>
      <c r="G315" s="64" t="s">
        <v>927</v>
      </c>
      <c r="H315" s="64" t="s">
        <v>894</v>
      </c>
      <c r="I315" s="64"/>
      <c r="J315" s="64" t="s">
        <v>32</v>
      </c>
      <c r="K315" s="64" t="s">
        <v>33</v>
      </c>
      <c r="L315" s="64" t="s">
        <v>34</v>
      </c>
      <c r="M315" s="64" t="s">
        <v>134</v>
      </c>
      <c r="N315" s="64" t="s">
        <v>64</v>
      </c>
      <c r="O315" s="64"/>
      <c r="P315" s="64"/>
      <c r="Q315" s="280">
        <v>45344</v>
      </c>
      <c r="R315" s="280">
        <f t="shared" si="3"/>
        <v>45348</v>
      </c>
      <c r="S315" s="67"/>
      <c r="T315" s="67"/>
      <c r="U315" s="98"/>
      <c r="V315" s="98"/>
      <c r="W315" s="68"/>
      <c r="X315" s="64"/>
    </row>
    <row r="316" spans="1:24" ht="24" customHeight="1">
      <c r="A316" s="68" t="s">
        <v>1301</v>
      </c>
      <c r="B316" s="64" t="s">
        <v>144</v>
      </c>
      <c r="C316" s="65">
        <v>4</v>
      </c>
      <c r="D316" s="65"/>
      <c r="E316" s="65"/>
      <c r="F316" s="65"/>
      <c r="G316" s="64" t="s">
        <v>1302</v>
      </c>
      <c r="H316" s="64" t="s">
        <v>1303</v>
      </c>
      <c r="I316" s="64"/>
      <c r="J316" s="64" t="s">
        <v>32</v>
      </c>
      <c r="K316" s="64" t="s">
        <v>33</v>
      </c>
      <c r="L316" s="64" t="s">
        <v>34</v>
      </c>
      <c r="M316" s="64" t="s">
        <v>1304</v>
      </c>
      <c r="N316" s="64" t="s">
        <v>64</v>
      </c>
      <c r="O316" s="64"/>
      <c r="P316" s="64"/>
      <c r="Q316" s="280">
        <v>45344</v>
      </c>
      <c r="R316" s="280">
        <f t="shared" si="3"/>
        <v>45348</v>
      </c>
      <c r="S316" s="67"/>
      <c r="T316" s="67"/>
      <c r="U316" s="98"/>
      <c r="V316" s="98"/>
      <c r="W316" s="68"/>
      <c r="X316" s="64"/>
    </row>
    <row r="317" spans="1:24" ht="24" customHeight="1">
      <c r="A317" s="68" t="s">
        <v>1305</v>
      </c>
      <c r="B317" s="64" t="s">
        <v>144</v>
      </c>
      <c r="C317" s="65">
        <v>4</v>
      </c>
      <c r="D317" s="65"/>
      <c r="E317" s="65"/>
      <c r="F317" s="65"/>
      <c r="G317" s="64" t="s">
        <v>1107</v>
      </c>
      <c r="H317" s="64" t="s">
        <v>1305</v>
      </c>
      <c r="I317" s="64"/>
      <c r="J317" s="64" t="s">
        <v>32</v>
      </c>
      <c r="K317" s="64" t="s">
        <v>33</v>
      </c>
      <c r="L317" s="64" t="s">
        <v>34</v>
      </c>
      <c r="M317" s="64" t="s">
        <v>1306</v>
      </c>
      <c r="N317" s="64" t="s">
        <v>64</v>
      </c>
      <c r="O317" s="64"/>
      <c r="P317" s="64"/>
      <c r="Q317" s="280">
        <v>45344</v>
      </c>
      <c r="R317" s="280">
        <f t="shared" si="3"/>
        <v>45348</v>
      </c>
      <c r="S317" s="67"/>
      <c r="T317" s="67"/>
      <c r="U317" s="98"/>
      <c r="V317" s="98"/>
      <c r="W317" s="68" t="s">
        <v>1307</v>
      </c>
      <c r="X317" s="64"/>
    </row>
    <row r="318" spans="1:24" ht="24" customHeight="1">
      <c r="A318" s="68" t="s">
        <v>1308</v>
      </c>
      <c r="B318" s="64" t="s">
        <v>144</v>
      </c>
      <c r="C318" s="65">
        <v>4</v>
      </c>
      <c r="D318" s="65"/>
      <c r="E318" s="65"/>
      <c r="F318" s="65"/>
      <c r="G318" s="64" t="s">
        <v>1309</v>
      </c>
      <c r="H318" s="64" t="s">
        <v>1310</v>
      </c>
      <c r="I318" s="64"/>
      <c r="J318" s="64" t="s">
        <v>32</v>
      </c>
      <c r="K318" s="64" t="s">
        <v>311</v>
      </c>
      <c r="L318" s="64" t="s">
        <v>34</v>
      </c>
      <c r="M318" s="64" t="s">
        <v>1311</v>
      </c>
      <c r="N318" s="64" t="s">
        <v>64</v>
      </c>
      <c r="O318" s="64"/>
      <c r="P318" s="64"/>
      <c r="Q318" s="280">
        <v>45344</v>
      </c>
      <c r="R318" s="280">
        <f t="shared" si="3"/>
        <v>45348</v>
      </c>
      <c r="S318" s="67"/>
      <c r="T318" s="67"/>
      <c r="U318" s="98"/>
      <c r="V318" s="98"/>
      <c r="W318" s="68"/>
      <c r="X318" s="64"/>
    </row>
    <row r="319" spans="1:24" ht="132.94999999999999" customHeight="1">
      <c r="A319" s="68" t="s">
        <v>1312</v>
      </c>
      <c r="B319" s="64" t="s">
        <v>144</v>
      </c>
      <c r="C319" s="65">
        <v>4</v>
      </c>
      <c r="D319" s="65"/>
      <c r="E319" s="65"/>
      <c r="F319" s="65"/>
      <c r="G319" s="64" t="s">
        <v>1313</v>
      </c>
      <c r="H319" s="64" t="s">
        <v>1314</v>
      </c>
      <c r="I319" s="64"/>
      <c r="J319" s="64" t="s">
        <v>32</v>
      </c>
      <c r="K319" s="64" t="s">
        <v>33</v>
      </c>
      <c r="L319" s="64" t="s">
        <v>34</v>
      </c>
      <c r="M319" s="64" t="s">
        <v>1315</v>
      </c>
      <c r="N319" s="64" t="s">
        <v>64</v>
      </c>
      <c r="O319" s="64"/>
      <c r="P319" s="64"/>
      <c r="Q319" s="280">
        <v>45344</v>
      </c>
      <c r="R319" s="280">
        <f t="shared" si="3"/>
        <v>45348</v>
      </c>
      <c r="S319" s="67"/>
      <c r="T319" s="67"/>
      <c r="U319" s="98"/>
      <c r="V319" s="98"/>
      <c r="W319" s="68" t="s">
        <v>1316</v>
      </c>
      <c r="X319" s="64"/>
    </row>
    <row r="320" spans="1:24" ht="23.1" customHeight="1">
      <c r="A320" s="68" t="s">
        <v>1317</v>
      </c>
      <c r="B320" s="64" t="s">
        <v>144</v>
      </c>
      <c r="C320" s="65">
        <v>4</v>
      </c>
      <c r="D320" s="65"/>
      <c r="E320" s="65"/>
      <c r="F320" s="65"/>
      <c r="G320" s="64" t="s">
        <v>1318</v>
      </c>
      <c r="H320" s="64" t="s">
        <v>1319</v>
      </c>
      <c r="I320" s="64"/>
      <c r="J320" s="64" t="s">
        <v>32</v>
      </c>
      <c r="K320" s="64" t="s">
        <v>33</v>
      </c>
      <c r="L320" s="64" t="s">
        <v>285</v>
      </c>
      <c r="M320" s="64" t="s">
        <v>134</v>
      </c>
      <c r="N320" s="64" t="s">
        <v>64</v>
      </c>
      <c r="O320" s="64"/>
      <c r="P320" s="64"/>
      <c r="Q320" s="280">
        <v>45345</v>
      </c>
      <c r="R320" s="280">
        <f t="shared" si="3"/>
        <v>45349</v>
      </c>
      <c r="S320" s="67"/>
      <c r="T320" s="67"/>
      <c r="U320" s="98"/>
      <c r="V320" s="98"/>
      <c r="W320" s="68"/>
      <c r="X320" s="64"/>
    </row>
    <row r="321" spans="1:24" ht="38.1" customHeight="1">
      <c r="A321" s="68" t="s">
        <v>1320</v>
      </c>
      <c r="B321" s="64" t="s">
        <v>144</v>
      </c>
      <c r="C321" s="65">
        <v>4</v>
      </c>
      <c r="D321" s="65"/>
      <c r="E321" s="65"/>
      <c r="F321" s="65"/>
      <c r="G321" s="64" t="s">
        <v>550</v>
      </c>
      <c r="H321" s="64" t="s">
        <v>1321</v>
      </c>
      <c r="I321" s="64"/>
      <c r="J321" s="64" t="s">
        <v>32</v>
      </c>
      <c r="K321" s="64" t="s">
        <v>33</v>
      </c>
      <c r="L321" s="64" t="s">
        <v>34</v>
      </c>
      <c r="M321" s="64" t="s">
        <v>134</v>
      </c>
      <c r="N321" s="64" t="s">
        <v>64</v>
      </c>
      <c r="O321" s="64"/>
      <c r="P321" s="64"/>
      <c r="Q321" s="280">
        <v>45345</v>
      </c>
      <c r="R321" s="280">
        <f t="shared" ref="R321:R336" si="4">Q321+10</f>
        <v>45355</v>
      </c>
      <c r="S321" s="67"/>
      <c r="T321" s="67"/>
      <c r="U321" s="98"/>
      <c r="V321" s="98"/>
      <c r="W321" s="68"/>
      <c r="X321" s="64"/>
    </row>
    <row r="322" spans="1:24" ht="18.95" customHeight="1">
      <c r="A322" s="83" t="s">
        <v>1322</v>
      </c>
      <c r="B322" s="64" t="s">
        <v>144</v>
      </c>
      <c r="C322" s="65">
        <v>4</v>
      </c>
      <c r="D322" s="65"/>
      <c r="E322" s="65"/>
      <c r="F322" s="65"/>
      <c r="G322" s="79" t="s">
        <v>927</v>
      </c>
      <c r="H322" s="79" t="s">
        <v>1323</v>
      </c>
      <c r="I322" s="79"/>
      <c r="J322" s="79" t="s">
        <v>32</v>
      </c>
      <c r="K322" s="79" t="s">
        <v>33</v>
      </c>
      <c r="L322" s="79" t="s">
        <v>111</v>
      </c>
      <c r="M322" s="79" t="s">
        <v>134</v>
      </c>
      <c r="N322" s="79" t="s">
        <v>64</v>
      </c>
      <c r="O322" s="79"/>
      <c r="P322" s="79"/>
      <c r="Q322" s="280">
        <v>45346</v>
      </c>
      <c r="R322" s="280">
        <f t="shared" si="4"/>
        <v>45356</v>
      </c>
      <c r="S322" s="82"/>
      <c r="T322" s="82"/>
      <c r="U322" s="285"/>
      <c r="V322" s="285"/>
      <c r="W322" s="83"/>
      <c r="X322" s="64"/>
    </row>
    <row r="323" spans="1:24" ht="48" customHeight="1">
      <c r="A323" s="68" t="s">
        <v>1324</v>
      </c>
      <c r="B323" s="64" t="s">
        <v>144</v>
      </c>
      <c r="C323" s="65">
        <v>4</v>
      </c>
      <c r="D323" s="65"/>
      <c r="E323" s="65"/>
      <c r="F323" s="65"/>
      <c r="G323" s="64" t="s">
        <v>90</v>
      </c>
      <c r="H323" s="64" t="s">
        <v>616</v>
      </c>
      <c r="I323" s="64"/>
      <c r="J323" s="64" t="s">
        <v>32</v>
      </c>
      <c r="K323" s="64" t="s">
        <v>33</v>
      </c>
      <c r="L323" s="64" t="s">
        <v>285</v>
      </c>
      <c r="M323" s="64" t="s">
        <v>134</v>
      </c>
      <c r="N323" s="64" t="s">
        <v>64</v>
      </c>
      <c r="O323" s="64"/>
      <c r="P323" s="64"/>
      <c r="Q323" s="280">
        <v>45347</v>
      </c>
      <c r="R323" s="280">
        <f t="shared" si="4"/>
        <v>45357</v>
      </c>
      <c r="S323" s="67"/>
      <c r="T323" s="67"/>
      <c r="U323" s="98"/>
      <c r="V323" s="98"/>
      <c r="W323" s="68"/>
      <c r="X323" s="64"/>
    </row>
    <row r="324" spans="1:24" ht="63.95" customHeight="1">
      <c r="A324" s="68" t="s">
        <v>1325</v>
      </c>
      <c r="B324" s="64" t="s">
        <v>144</v>
      </c>
      <c r="C324" s="65">
        <v>4</v>
      </c>
      <c r="D324" s="65"/>
      <c r="E324" s="65"/>
      <c r="F324" s="65"/>
      <c r="G324" s="64" t="s">
        <v>1261</v>
      </c>
      <c r="H324" s="64" t="s">
        <v>1326</v>
      </c>
      <c r="I324" s="64"/>
      <c r="J324" s="64" t="s">
        <v>32</v>
      </c>
      <c r="K324" s="64" t="s">
        <v>33</v>
      </c>
      <c r="L324" s="64" t="s">
        <v>46</v>
      </c>
      <c r="M324" s="64" t="s">
        <v>134</v>
      </c>
      <c r="N324" s="64" t="s">
        <v>64</v>
      </c>
      <c r="O324" s="64"/>
      <c r="P324" s="64"/>
      <c r="Q324" s="280">
        <v>45348</v>
      </c>
      <c r="R324" s="280">
        <f t="shared" si="4"/>
        <v>45358</v>
      </c>
      <c r="S324" s="67"/>
      <c r="T324" s="67"/>
      <c r="U324" s="98"/>
      <c r="V324" s="98"/>
      <c r="W324" s="68"/>
      <c r="X324" s="64"/>
    </row>
    <row r="325" spans="1:24" ht="42" customHeight="1">
      <c r="A325" s="68" t="s">
        <v>1327</v>
      </c>
      <c r="B325" s="64" t="s">
        <v>144</v>
      </c>
      <c r="C325" s="65">
        <v>4</v>
      </c>
      <c r="D325" s="65"/>
      <c r="E325" s="65"/>
      <c r="F325" s="65"/>
      <c r="G325" s="64" t="s">
        <v>1328</v>
      </c>
      <c r="H325" s="64" t="s">
        <v>1329</v>
      </c>
      <c r="I325" s="64"/>
      <c r="J325" s="64" t="s">
        <v>32</v>
      </c>
      <c r="K325" s="64" t="s">
        <v>33</v>
      </c>
      <c r="L325" s="64" t="s">
        <v>34</v>
      </c>
      <c r="M325" s="64" t="s">
        <v>134</v>
      </c>
      <c r="N325" s="64" t="s">
        <v>36</v>
      </c>
      <c r="O325" s="64"/>
      <c r="P325" s="64"/>
      <c r="Q325" s="280">
        <v>45350</v>
      </c>
      <c r="R325" s="280">
        <f t="shared" si="4"/>
        <v>45360</v>
      </c>
      <c r="S325" s="67"/>
      <c r="T325" s="67"/>
      <c r="U325" s="98"/>
      <c r="V325" s="98"/>
      <c r="W325" s="68"/>
      <c r="X325" s="64"/>
    </row>
    <row r="326" spans="1:24" ht="95.1" customHeight="1">
      <c r="A326" s="68" t="s">
        <v>1330</v>
      </c>
      <c r="B326" s="64" t="s">
        <v>144</v>
      </c>
      <c r="C326" s="65">
        <v>4</v>
      </c>
      <c r="D326" s="65"/>
      <c r="E326" s="65"/>
      <c r="F326" s="65"/>
      <c r="G326" s="64" t="s">
        <v>1331</v>
      </c>
      <c r="H326" s="64" t="s">
        <v>1332</v>
      </c>
      <c r="I326" s="64"/>
      <c r="J326" s="64" t="s">
        <v>32</v>
      </c>
      <c r="K326" s="64" t="s">
        <v>1333</v>
      </c>
      <c r="L326" s="64" t="s">
        <v>111</v>
      </c>
      <c r="M326" s="64" t="s">
        <v>134</v>
      </c>
      <c r="N326" s="64" t="s">
        <v>64</v>
      </c>
      <c r="O326" s="64"/>
      <c r="P326" s="64"/>
      <c r="Q326" s="280">
        <v>45350</v>
      </c>
      <c r="R326" s="280">
        <f t="shared" si="4"/>
        <v>45360</v>
      </c>
      <c r="S326" s="67"/>
      <c r="T326" s="67"/>
      <c r="U326" s="98"/>
      <c r="V326" s="98"/>
      <c r="W326" s="68"/>
      <c r="X326" s="64"/>
    </row>
    <row r="327" spans="1:24" s="81" customFormat="1" ht="23.1" customHeight="1">
      <c r="A327" s="68" t="s">
        <v>1334</v>
      </c>
      <c r="B327" s="64" t="s">
        <v>144</v>
      </c>
      <c r="C327" s="65">
        <v>4</v>
      </c>
      <c r="D327" s="65"/>
      <c r="E327" s="65"/>
      <c r="F327" s="65"/>
      <c r="G327" s="64" t="s">
        <v>1261</v>
      </c>
      <c r="H327" s="64" t="s">
        <v>1335</v>
      </c>
      <c r="I327" s="64"/>
      <c r="J327" s="64" t="s">
        <v>32</v>
      </c>
      <c r="K327" s="64" t="s">
        <v>33</v>
      </c>
      <c r="L327" s="64" t="s">
        <v>111</v>
      </c>
      <c r="M327" s="64" t="s">
        <v>134</v>
      </c>
      <c r="N327" s="64" t="s">
        <v>64</v>
      </c>
      <c r="O327" s="64"/>
      <c r="P327" s="64"/>
      <c r="Q327" s="280">
        <v>45350</v>
      </c>
      <c r="R327" s="280">
        <f t="shared" si="4"/>
        <v>45360</v>
      </c>
      <c r="S327" s="67"/>
      <c r="T327" s="67"/>
      <c r="U327" s="98"/>
      <c r="V327" s="98"/>
      <c r="W327" s="68" t="s">
        <v>1336</v>
      </c>
      <c r="X327" s="64"/>
    </row>
    <row r="328" spans="1:24" s="81" customFormat="1" ht="23.1" customHeight="1">
      <c r="A328" s="68" t="s">
        <v>1337</v>
      </c>
      <c r="B328" s="64" t="s">
        <v>144</v>
      </c>
      <c r="C328" s="65">
        <v>4</v>
      </c>
      <c r="D328" s="65"/>
      <c r="E328" s="65"/>
      <c r="F328" s="65"/>
      <c r="G328" s="64" t="s">
        <v>1338</v>
      </c>
      <c r="H328" s="64" t="s">
        <v>847</v>
      </c>
      <c r="I328" s="64"/>
      <c r="J328" s="64" t="s">
        <v>32</v>
      </c>
      <c r="K328" s="64" t="s">
        <v>33</v>
      </c>
      <c r="L328" s="64" t="s">
        <v>34</v>
      </c>
      <c r="M328" s="64" t="s">
        <v>81</v>
      </c>
      <c r="N328" s="64"/>
      <c r="O328" s="64"/>
      <c r="P328" s="64"/>
      <c r="Q328" s="280">
        <v>45364</v>
      </c>
      <c r="R328" s="280">
        <f t="shared" si="4"/>
        <v>45374</v>
      </c>
      <c r="S328" s="67"/>
      <c r="T328" s="67"/>
      <c r="U328" s="98"/>
      <c r="V328" s="98"/>
      <c r="W328" s="68"/>
      <c r="X328" s="64"/>
    </row>
    <row r="329" spans="1:24" ht="147.94999999999999" customHeight="1">
      <c r="A329" s="68" t="s">
        <v>1339</v>
      </c>
      <c r="B329" s="64" t="s">
        <v>144</v>
      </c>
      <c r="C329" s="65">
        <v>4</v>
      </c>
      <c r="D329" s="65"/>
      <c r="E329" s="65"/>
      <c r="F329" s="65"/>
      <c r="G329" s="64" t="s">
        <v>1340</v>
      </c>
      <c r="H329" s="64" t="s">
        <v>1341</v>
      </c>
      <c r="I329" s="64"/>
      <c r="J329" s="64" t="s">
        <v>32</v>
      </c>
      <c r="K329" s="64" t="s">
        <v>311</v>
      </c>
      <c r="L329" s="64" t="s">
        <v>34</v>
      </c>
      <c r="M329" s="64" t="s">
        <v>1342</v>
      </c>
      <c r="N329" s="64" t="s">
        <v>64</v>
      </c>
      <c r="O329" s="64"/>
      <c r="P329" s="64"/>
      <c r="Q329" s="280">
        <v>45364</v>
      </c>
      <c r="R329" s="280">
        <f t="shared" si="4"/>
        <v>45374</v>
      </c>
      <c r="S329" s="67"/>
      <c r="T329" s="67"/>
      <c r="U329" s="98"/>
      <c r="V329" s="98"/>
      <c r="W329" s="68" t="s">
        <v>1343</v>
      </c>
      <c r="X329" s="64"/>
    </row>
    <row r="330" spans="1:24" ht="18" customHeight="1">
      <c r="A330" s="68" t="s">
        <v>1344</v>
      </c>
      <c r="B330" s="64" t="s">
        <v>144</v>
      </c>
      <c r="C330" s="65">
        <v>4</v>
      </c>
      <c r="D330" s="65"/>
      <c r="E330" s="65"/>
      <c r="F330" s="65"/>
      <c r="G330" s="64" t="s">
        <v>1345</v>
      </c>
      <c r="H330" s="64" t="s">
        <v>1346</v>
      </c>
      <c r="I330" s="64"/>
      <c r="J330" s="64" t="s">
        <v>32</v>
      </c>
      <c r="K330" s="64" t="s">
        <v>311</v>
      </c>
      <c r="L330" s="64" t="s">
        <v>765</v>
      </c>
      <c r="M330" s="64" t="s">
        <v>1347</v>
      </c>
      <c r="N330" s="64" t="s">
        <v>64</v>
      </c>
      <c r="O330" s="64"/>
      <c r="P330" s="64"/>
      <c r="Q330" s="280">
        <v>45364</v>
      </c>
      <c r="R330" s="280">
        <f t="shared" si="4"/>
        <v>45374</v>
      </c>
      <c r="S330" s="67"/>
      <c r="T330" s="67"/>
      <c r="U330" s="98"/>
      <c r="V330" s="98"/>
      <c r="W330" s="68"/>
      <c r="X330" s="64"/>
    </row>
    <row r="331" spans="1:24" ht="132.94999999999999" customHeight="1">
      <c r="A331" s="68" t="s">
        <v>1348</v>
      </c>
      <c r="B331" s="64" t="s">
        <v>144</v>
      </c>
      <c r="C331" s="65">
        <v>4</v>
      </c>
      <c r="D331" s="65"/>
      <c r="E331" s="65"/>
      <c r="F331" s="65"/>
      <c r="G331" s="64" t="s">
        <v>601</v>
      </c>
      <c r="H331" s="64" t="s">
        <v>1346</v>
      </c>
      <c r="I331" s="64"/>
      <c r="J331" s="64" t="s">
        <v>32</v>
      </c>
      <c r="K331" s="64" t="s">
        <v>311</v>
      </c>
      <c r="L331" s="64" t="s">
        <v>765</v>
      </c>
      <c r="M331" s="64" t="s">
        <v>1349</v>
      </c>
      <c r="N331" s="64" t="s">
        <v>64</v>
      </c>
      <c r="O331" s="64"/>
      <c r="P331" s="64"/>
      <c r="Q331" s="280">
        <v>45364</v>
      </c>
      <c r="R331" s="280">
        <f t="shared" si="4"/>
        <v>45374</v>
      </c>
      <c r="S331" s="67"/>
      <c r="T331" s="67"/>
      <c r="U331" s="98"/>
      <c r="V331" s="98"/>
      <c r="W331" s="68"/>
      <c r="X331" s="64"/>
    </row>
    <row r="332" spans="1:24" ht="132.94999999999999" customHeight="1">
      <c r="A332" s="68" t="s">
        <v>1350</v>
      </c>
      <c r="B332" s="64" t="s">
        <v>144</v>
      </c>
      <c r="C332" s="65">
        <v>4</v>
      </c>
      <c r="D332" s="65"/>
      <c r="E332" s="65"/>
      <c r="F332" s="65"/>
      <c r="G332" s="64" t="s">
        <v>1351</v>
      </c>
      <c r="H332" s="64" t="s">
        <v>1352</v>
      </c>
      <c r="I332" s="64"/>
      <c r="J332" s="64" t="s">
        <v>32</v>
      </c>
      <c r="K332" s="64" t="s">
        <v>33</v>
      </c>
      <c r="L332" s="64" t="s">
        <v>34</v>
      </c>
      <c r="M332" s="64" t="s">
        <v>818</v>
      </c>
      <c r="N332" s="64" t="s">
        <v>64</v>
      </c>
      <c r="O332" s="64"/>
      <c r="P332" s="64"/>
      <c r="Q332" s="280">
        <v>45364</v>
      </c>
      <c r="R332" s="280">
        <f t="shared" si="4"/>
        <v>45374</v>
      </c>
      <c r="S332" s="67"/>
      <c r="T332" s="67"/>
      <c r="U332" s="98"/>
      <c r="V332" s="98"/>
      <c r="W332" s="68"/>
      <c r="X332" s="64"/>
    </row>
    <row r="333" spans="1:24" ht="38.1" customHeight="1">
      <c r="A333" s="68" t="s">
        <v>1353</v>
      </c>
      <c r="B333" s="64" t="s">
        <v>144</v>
      </c>
      <c r="C333" s="65">
        <v>4</v>
      </c>
      <c r="D333" s="65"/>
      <c r="E333" s="65"/>
      <c r="F333" s="65"/>
      <c r="G333" s="64" t="s">
        <v>1354</v>
      </c>
      <c r="H333" s="64" t="s">
        <v>1355</v>
      </c>
      <c r="I333" s="64"/>
      <c r="J333" s="64" t="s">
        <v>32</v>
      </c>
      <c r="K333" s="64" t="s">
        <v>594</v>
      </c>
      <c r="L333" s="64" t="s">
        <v>34</v>
      </c>
      <c r="M333" s="64" t="s">
        <v>1356</v>
      </c>
      <c r="N333" s="64" t="s">
        <v>64</v>
      </c>
      <c r="O333" s="64"/>
      <c r="P333" s="64"/>
      <c r="Q333" s="280">
        <v>45364</v>
      </c>
      <c r="R333" s="280">
        <f t="shared" si="4"/>
        <v>45374</v>
      </c>
      <c r="S333" s="67"/>
      <c r="T333" s="67"/>
      <c r="U333" s="98"/>
      <c r="V333" s="98"/>
      <c r="W333" s="68"/>
      <c r="X333" s="64"/>
    </row>
    <row r="334" spans="1:24" ht="18" customHeight="1">
      <c r="A334" s="68" t="s">
        <v>1357</v>
      </c>
      <c r="B334" s="64" t="s">
        <v>144</v>
      </c>
      <c r="C334" s="65">
        <v>4</v>
      </c>
      <c r="D334" s="65"/>
      <c r="E334" s="65"/>
      <c r="F334" s="65"/>
      <c r="G334" s="64" t="s">
        <v>1358</v>
      </c>
      <c r="H334" s="64" t="s">
        <v>1359</v>
      </c>
      <c r="I334" s="64"/>
      <c r="J334" s="64" t="s">
        <v>32</v>
      </c>
      <c r="K334" s="64" t="s">
        <v>33</v>
      </c>
      <c r="L334" s="64" t="s">
        <v>765</v>
      </c>
      <c r="M334" s="64" t="s">
        <v>112</v>
      </c>
      <c r="N334" s="64" t="s">
        <v>64</v>
      </c>
      <c r="O334" s="64"/>
      <c r="P334" s="64"/>
      <c r="Q334" s="280">
        <v>45364</v>
      </c>
      <c r="R334" s="280">
        <f t="shared" si="4"/>
        <v>45374</v>
      </c>
      <c r="S334" s="67"/>
      <c r="T334" s="67"/>
      <c r="U334" s="98"/>
      <c r="V334" s="98"/>
      <c r="W334" s="68"/>
      <c r="X334" s="64"/>
    </row>
    <row r="335" spans="1:24" s="81" customFormat="1" ht="66" customHeight="1">
      <c r="A335" s="68" t="s">
        <v>1360</v>
      </c>
      <c r="B335" s="64" t="s">
        <v>144</v>
      </c>
      <c r="C335" s="65">
        <v>4</v>
      </c>
      <c r="D335" s="65"/>
      <c r="E335" s="65"/>
      <c r="F335" s="65"/>
      <c r="G335" s="64" t="s">
        <v>90</v>
      </c>
      <c r="H335" s="64" t="s">
        <v>1361</v>
      </c>
      <c r="I335" s="64"/>
      <c r="J335" s="64" t="s">
        <v>32</v>
      </c>
      <c r="K335" s="64" t="s">
        <v>480</v>
      </c>
      <c r="L335" s="64" t="s">
        <v>34</v>
      </c>
      <c r="M335" s="64" t="s">
        <v>490</v>
      </c>
      <c r="N335" s="64" t="s">
        <v>64</v>
      </c>
      <c r="O335" s="64"/>
      <c r="P335" s="64"/>
      <c r="Q335" s="280">
        <v>45364</v>
      </c>
      <c r="R335" s="280">
        <f t="shared" si="4"/>
        <v>45374</v>
      </c>
      <c r="S335" s="67"/>
      <c r="T335" s="67"/>
      <c r="U335" s="98"/>
      <c r="V335" s="98"/>
      <c r="W335" s="68" t="s">
        <v>757</v>
      </c>
      <c r="X335" s="64"/>
    </row>
    <row r="336" spans="1:24" ht="38.1" customHeight="1">
      <c r="A336" s="68" t="s">
        <v>1362</v>
      </c>
      <c r="B336" s="64" t="s">
        <v>144</v>
      </c>
      <c r="C336" s="65">
        <v>4</v>
      </c>
      <c r="D336" s="65"/>
      <c r="E336" s="65"/>
      <c r="F336" s="65"/>
      <c r="G336" s="64" t="s">
        <v>1363</v>
      </c>
      <c r="H336" s="64" t="s">
        <v>1346</v>
      </c>
      <c r="I336" s="64"/>
      <c r="J336" s="64" t="s">
        <v>32</v>
      </c>
      <c r="K336" s="64" t="s">
        <v>311</v>
      </c>
      <c r="L336" s="64" t="s">
        <v>765</v>
      </c>
      <c r="M336" s="64" t="s">
        <v>1349</v>
      </c>
      <c r="N336" s="64" t="s">
        <v>64</v>
      </c>
      <c r="O336" s="64"/>
      <c r="P336" s="64"/>
      <c r="Q336" s="280">
        <v>45365</v>
      </c>
      <c r="R336" s="280">
        <f t="shared" si="4"/>
        <v>45375</v>
      </c>
      <c r="S336" s="67"/>
      <c r="T336" s="67"/>
      <c r="U336" s="98"/>
      <c r="V336" s="98"/>
      <c r="W336" s="68" t="s">
        <v>1364</v>
      </c>
      <c r="X336" s="64"/>
    </row>
    <row r="337" spans="1:24" s="69" customFormat="1" ht="18.95">
      <c r="A337" s="68" t="s">
        <v>1365</v>
      </c>
      <c r="B337" s="64" t="s">
        <v>144</v>
      </c>
      <c r="C337" s="65">
        <v>4</v>
      </c>
      <c r="D337" s="65"/>
      <c r="E337" s="65"/>
      <c r="F337" s="65"/>
      <c r="G337" s="64" t="s">
        <v>12</v>
      </c>
      <c r="H337" s="64" t="s">
        <v>1366</v>
      </c>
      <c r="I337" s="64"/>
      <c r="J337" s="64" t="s">
        <v>32</v>
      </c>
      <c r="K337" s="64" t="s">
        <v>224</v>
      </c>
      <c r="L337" s="64" t="s">
        <v>1367</v>
      </c>
      <c r="M337" s="64" t="s">
        <v>723</v>
      </c>
      <c r="N337" s="64" t="s">
        <v>64</v>
      </c>
      <c r="O337" s="64"/>
      <c r="P337" s="64"/>
      <c r="Q337" s="280">
        <v>45371</v>
      </c>
      <c r="R337" s="280">
        <f>Q337+14</f>
        <v>45385</v>
      </c>
      <c r="S337" s="67"/>
      <c r="T337" s="67"/>
      <c r="U337" s="98"/>
      <c r="V337" s="98"/>
      <c r="W337" s="68"/>
      <c r="X337" s="64"/>
    </row>
    <row r="338" spans="1:24" s="69" customFormat="1" ht="237.95" customHeight="1">
      <c r="A338" s="68" t="s">
        <v>1368</v>
      </c>
      <c r="B338" s="64" t="s">
        <v>144</v>
      </c>
      <c r="C338" s="65">
        <v>4</v>
      </c>
      <c r="D338" s="65"/>
      <c r="E338" s="65"/>
      <c r="F338" s="65"/>
      <c r="G338" s="64" t="s">
        <v>1369</v>
      </c>
      <c r="H338" s="64" t="s">
        <v>1370</v>
      </c>
      <c r="I338" s="64"/>
      <c r="J338" s="64" t="s">
        <v>32</v>
      </c>
      <c r="K338" s="64" t="s">
        <v>33</v>
      </c>
      <c r="L338" s="64" t="s">
        <v>1371</v>
      </c>
      <c r="M338" s="64" t="s">
        <v>445</v>
      </c>
      <c r="N338" s="64" t="s">
        <v>64</v>
      </c>
      <c r="O338" s="64"/>
      <c r="P338" s="64"/>
      <c r="Q338" s="280">
        <v>45406</v>
      </c>
      <c r="R338" s="280">
        <f>Q338+7</f>
        <v>45413</v>
      </c>
      <c r="S338" s="67"/>
      <c r="T338" s="67"/>
      <c r="U338" s="98"/>
      <c r="V338" s="98"/>
      <c r="W338" s="68"/>
      <c r="X338" s="64"/>
    </row>
    <row r="339" spans="1:24" s="69" customFormat="1" ht="33.950000000000003" customHeight="1">
      <c r="A339" s="83" t="s">
        <v>1372</v>
      </c>
      <c r="B339" s="64" t="s">
        <v>144</v>
      </c>
      <c r="C339" s="65">
        <v>4</v>
      </c>
      <c r="D339" s="65"/>
      <c r="E339" s="65"/>
      <c r="F339" s="65"/>
      <c r="G339" s="79" t="s">
        <v>454</v>
      </c>
      <c r="H339" s="79" t="s">
        <v>1373</v>
      </c>
      <c r="I339" s="79"/>
      <c r="J339" s="79" t="s">
        <v>32</v>
      </c>
      <c r="K339" s="79" t="s">
        <v>33</v>
      </c>
      <c r="L339" s="79" t="s">
        <v>111</v>
      </c>
      <c r="M339" s="79" t="s">
        <v>275</v>
      </c>
      <c r="N339" s="79" t="s">
        <v>64</v>
      </c>
      <c r="O339" s="79"/>
      <c r="P339" s="79"/>
      <c r="Q339" s="280">
        <v>45411</v>
      </c>
      <c r="R339" s="280">
        <v>45418</v>
      </c>
      <c r="S339" s="80"/>
      <c r="T339" s="80"/>
      <c r="U339" s="288"/>
      <c r="V339" s="288"/>
      <c r="W339" s="83"/>
      <c r="X339" s="64"/>
    </row>
    <row r="340" spans="1:24" s="69" customFormat="1" ht="38.1">
      <c r="A340" s="68" t="s">
        <v>1374</v>
      </c>
      <c r="B340" s="64" t="s">
        <v>199</v>
      </c>
      <c r="C340" s="65">
        <v>4</v>
      </c>
      <c r="D340" s="65"/>
      <c r="E340" s="65"/>
      <c r="F340" s="65"/>
      <c r="G340" s="64" t="s">
        <v>1375</v>
      </c>
      <c r="H340" s="64" t="s">
        <v>1376</v>
      </c>
      <c r="I340" s="64"/>
      <c r="J340" s="64" t="s">
        <v>61</v>
      </c>
      <c r="K340" s="64" t="s">
        <v>33</v>
      </c>
      <c r="L340" s="64" t="s">
        <v>34</v>
      </c>
      <c r="M340" s="64" t="s">
        <v>1377</v>
      </c>
      <c r="N340" s="64" t="s">
        <v>64</v>
      </c>
      <c r="O340" s="64"/>
      <c r="P340" s="64"/>
      <c r="Q340" s="280">
        <v>45421</v>
      </c>
      <c r="R340" s="280">
        <f>Q340+7</f>
        <v>45428</v>
      </c>
      <c r="S340" s="67"/>
      <c r="T340" s="67"/>
      <c r="U340" s="98"/>
      <c r="V340" s="98"/>
      <c r="W340" s="68" t="s">
        <v>1378</v>
      </c>
      <c r="X340" s="79"/>
    </row>
    <row r="341" spans="1:24" s="69" customFormat="1" ht="18.95">
      <c r="A341" s="83" t="s">
        <v>1379</v>
      </c>
      <c r="B341" s="64" t="s">
        <v>144</v>
      </c>
      <c r="C341" s="65">
        <v>4</v>
      </c>
      <c r="D341" s="65"/>
      <c r="E341" s="65"/>
      <c r="F341" s="65"/>
      <c r="G341" s="79" t="s">
        <v>1380</v>
      </c>
      <c r="H341" s="79" t="s">
        <v>1381</v>
      </c>
      <c r="I341" s="79"/>
      <c r="J341" s="79" t="s">
        <v>32</v>
      </c>
      <c r="K341" s="79" t="s">
        <v>33</v>
      </c>
      <c r="L341" s="79" t="s">
        <v>1382</v>
      </c>
      <c r="M341" s="79" t="s">
        <v>791</v>
      </c>
      <c r="N341" s="79" t="s">
        <v>64</v>
      </c>
      <c r="O341" s="79"/>
      <c r="P341" s="79"/>
      <c r="Q341" s="280">
        <v>45432</v>
      </c>
      <c r="R341" s="280">
        <f>Q341+7</f>
        <v>45439</v>
      </c>
      <c r="S341" s="82"/>
      <c r="T341" s="82"/>
      <c r="U341" s="285"/>
      <c r="V341" s="285"/>
      <c r="W341" s="83" t="s">
        <v>1383</v>
      </c>
      <c r="X341" s="79"/>
    </row>
    <row r="342" spans="1:24" ht="23.1" customHeight="1">
      <c r="A342" s="68" t="s">
        <v>1384</v>
      </c>
      <c r="B342" s="64" t="s">
        <v>144</v>
      </c>
      <c r="C342" s="65">
        <v>4</v>
      </c>
      <c r="D342" s="65"/>
      <c r="E342" s="65"/>
      <c r="F342" s="65"/>
      <c r="G342" s="64" t="s">
        <v>1385</v>
      </c>
      <c r="H342" s="64" t="s">
        <v>1386</v>
      </c>
      <c r="I342" s="64"/>
      <c r="J342" s="64" t="s">
        <v>32</v>
      </c>
      <c r="K342" s="64" t="s">
        <v>33</v>
      </c>
      <c r="L342" s="64" t="s">
        <v>71</v>
      </c>
      <c r="M342" s="64" t="s">
        <v>134</v>
      </c>
      <c r="N342" s="64" t="s">
        <v>64</v>
      </c>
      <c r="O342" s="64"/>
      <c r="P342" s="64"/>
      <c r="Q342" s="280">
        <v>45474</v>
      </c>
      <c r="R342" s="280">
        <f>Q342+10</f>
        <v>45484</v>
      </c>
      <c r="S342" s="67"/>
      <c r="T342" s="67"/>
      <c r="U342" s="98"/>
      <c r="V342" s="98"/>
      <c r="W342" s="68" t="s">
        <v>1387</v>
      </c>
      <c r="X342" s="64"/>
    </row>
    <row r="343" spans="1:24" ht="38.1" customHeight="1">
      <c r="A343" s="83" t="s">
        <v>1388</v>
      </c>
      <c r="B343" s="64" t="s">
        <v>144</v>
      </c>
      <c r="C343" s="65">
        <v>4</v>
      </c>
      <c r="D343" s="65"/>
      <c r="E343" s="65"/>
      <c r="F343" s="65"/>
      <c r="G343" s="79" t="s">
        <v>183</v>
      </c>
      <c r="H343" s="79" t="s">
        <v>1389</v>
      </c>
      <c r="I343" s="79"/>
      <c r="J343" s="79" t="s">
        <v>32</v>
      </c>
      <c r="K343" s="79" t="s">
        <v>33</v>
      </c>
      <c r="L343" s="79" t="s">
        <v>186</v>
      </c>
      <c r="M343" s="79" t="s">
        <v>1390</v>
      </c>
      <c r="N343" s="79" t="s">
        <v>64</v>
      </c>
      <c r="O343" s="79"/>
      <c r="P343" s="79"/>
      <c r="Q343" s="280">
        <v>45425</v>
      </c>
      <c r="R343" s="280">
        <f>Q343+90</f>
        <v>45515</v>
      </c>
      <c r="S343" s="82"/>
      <c r="T343" s="82"/>
      <c r="U343" s="285"/>
      <c r="V343" s="285"/>
      <c r="W343" s="83" t="s">
        <v>1391</v>
      </c>
      <c r="X343" s="79"/>
    </row>
    <row r="344" spans="1:24" ht="38.1" customHeight="1">
      <c r="A344" s="68" t="s">
        <v>1392</v>
      </c>
      <c r="B344" s="64" t="s">
        <v>199</v>
      </c>
      <c r="C344" s="65">
        <v>4</v>
      </c>
      <c r="D344" s="65"/>
      <c r="E344" s="65"/>
      <c r="F344" s="65"/>
      <c r="G344" s="64" t="s">
        <v>488</v>
      </c>
      <c r="H344" s="64" t="s">
        <v>1393</v>
      </c>
      <c r="I344" s="64"/>
      <c r="J344" s="64" t="s">
        <v>32</v>
      </c>
      <c r="K344" s="64" t="s">
        <v>33</v>
      </c>
      <c r="L344" s="64" t="s">
        <v>34</v>
      </c>
      <c r="M344" s="64" t="s">
        <v>1394</v>
      </c>
      <c r="N344" s="64" t="s">
        <v>1395</v>
      </c>
      <c r="O344" s="64"/>
      <c r="P344" s="64"/>
      <c r="Q344" s="280">
        <v>45516</v>
      </c>
      <c r="R344" s="280">
        <v>45525</v>
      </c>
      <c r="S344" s="86"/>
      <c r="T344" s="86"/>
      <c r="U344" s="290"/>
      <c r="V344" s="290"/>
      <c r="W344" s="68" t="s">
        <v>1396</v>
      </c>
      <c r="X344" s="64"/>
    </row>
    <row r="345" spans="1:24" s="69" customFormat="1" ht="38.1">
      <c r="A345" s="83" t="s">
        <v>1397</v>
      </c>
      <c r="B345" s="64" t="s">
        <v>144</v>
      </c>
      <c r="C345" s="65">
        <v>4</v>
      </c>
      <c r="D345" s="65"/>
      <c r="E345" s="65"/>
      <c r="F345" s="65"/>
      <c r="G345" s="79" t="s">
        <v>1398</v>
      </c>
      <c r="H345" s="79" t="s">
        <v>1399</v>
      </c>
      <c r="I345" s="79"/>
      <c r="J345" s="79" t="s">
        <v>32</v>
      </c>
      <c r="K345" s="79" t="s">
        <v>33</v>
      </c>
      <c r="L345" s="79" t="s">
        <v>111</v>
      </c>
      <c r="M345" s="79" t="s">
        <v>445</v>
      </c>
      <c r="N345" s="79" t="s">
        <v>64</v>
      </c>
      <c r="O345" s="79"/>
      <c r="P345" s="79"/>
      <c r="Q345" s="280">
        <v>45533</v>
      </c>
      <c r="R345" s="280">
        <f>Q345+7</f>
        <v>45540</v>
      </c>
      <c r="S345" s="82"/>
      <c r="T345" s="82"/>
      <c r="U345" s="285"/>
      <c r="V345" s="285"/>
      <c r="W345" s="83" t="s">
        <v>1400</v>
      </c>
      <c r="X345" s="79"/>
    </row>
    <row r="346" spans="1:24" s="69" customFormat="1" ht="57">
      <c r="A346" s="68" t="s">
        <v>1401</v>
      </c>
      <c r="B346" s="64" t="s">
        <v>199</v>
      </c>
      <c r="C346" s="65">
        <v>4</v>
      </c>
      <c r="D346" s="65"/>
      <c r="E346" s="65"/>
      <c r="F346" s="65"/>
      <c r="G346" s="64" t="s">
        <v>1402</v>
      </c>
      <c r="H346" s="64" t="s">
        <v>1403</v>
      </c>
      <c r="I346" s="64"/>
      <c r="J346" s="64" t="s">
        <v>32</v>
      </c>
      <c r="K346" s="64" t="s">
        <v>33</v>
      </c>
      <c r="L346" s="64" t="s">
        <v>111</v>
      </c>
      <c r="M346" s="64" t="s">
        <v>112</v>
      </c>
      <c r="N346" s="64" t="s">
        <v>64</v>
      </c>
      <c r="O346" s="64"/>
      <c r="P346" s="64"/>
      <c r="Q346" s="280">
        <v>45537</v>
      </c>
      <c r="R346" s="280">
        <f>Q346+14</f>
        <v>45551</v>
      </c>
      <c r="S346" s="67"/>
      <c r="T346" s="67"/>
      <c r="U346" s="98"/>
      <c r="V346" s="98"/>
      <c r="W346" s="68" t="s">
        <v>1404</v>
      </c>
      <c r="X346" s="74"/>
    </row>
    <row r="347" spans="1:24" s="69" customFormat="1" ht="18.95">
      <c r="A347" s="77" t="s">
        <v>1405</v>
      </c>
      <c r="B347" s="64" t="s">
        <v>144</v>
      </c>
      <c r="C347" s="65">
        <v>4</v>
      </c>
      <c r="D347" s="65"/>
      <c r="E347" s="65"/>
      <c r="F347" s="65"/>
      <c r="G347" s="64" t="s">
        <v>1406</v>
      </c>
      <c r="H347" s="66" t="s">
        <v>1407</v>
      </c>
      <c r="I347" s="66"/>
      <c r="J347" s="64" t="s">
        <v>264</v>
      </c>
      <c r="K347" s="64" t="s">
        <v>311</v>
      </c>
      <c r="L347" s="64" t="s">
        <v>71</v>
      </c>
      <c r="M347" s="64" t="s">
        <v>35</v>
      </c>
      <c r="N347" s="64"/>
      <c r="O347" s="64"/>
      <c r="P347" s="64"/>
      <c r="Q347" s="280">
        <v>45552</v>
      </c>
      <c r="R347" s="280">
        <f>Q347+10</f>
        <v>45562</v>
      </c>
      <c r="S347" s="67"/>
      <c r="T347" s="67"/>
      <c r="U347" s="98"/>
      <c r="V347" s="98"/>
      <c r="W347" s="68" t="s">
        <v>1408</v>
      </c>
      <c r="X347" s="64"/>
    </row>
    <row r="348" spans="1:24" ht="75.95" customHeight="1">
      <c r="A348" s="68" t="s">
        <v>1409</v>
      </c>
      <c r="B348" s="78" t="s">
        <v>144</v>
      </c>
      <c r="C348" s="65">
        <v>4</v>
      </c>
      <c r="D348" s="65"/>
      <c r="E348" s="65"/>
      <c r="F348" s="65" t="s">
        <v>416</v>
      </c>
      <c r="G348" s="64"/>
      <c r="H348" s="64" t="s">
        <v>1410</v>
      </c>
      <c r="I348" s="64"/>
      <c r="J348" s="64" t="s">
        <v>32</v>
      </c>
      <c r="K348" s="64" t="s">
        <v>499</v>
      </c>
      <c r="L348" s="64" t="s">
        <v>46</v>
      </c>
      <c r="M348" s="64"/>
      <c r="N348" s="64"/>
      <c r="O348" s="64"/>
      <c r="P348" s="64"/>
      <c r="Q348" s="280">
        <v>45561</v>
      </c>
      <c r="R348" s="280">
        <f>Q348+10</f>
        <v>45571</v>
      </c>
      <c r="S348" s="67"/>
      <c r="T348" s="67"/>
      <c r="U348" s="98"/>
      <c r="V348" s="98"/>
      <c r="W348" s="68" t="s">
        <v>1411</v>
      </c>
      <c r="X348" s="64"/>
    </row>
    <row r="349" spans="1:24" s="69" customFormat="1" ht="18.95">
      <c r="A349" s="68" t="s">
        <v>1412</v>
      </c>
      <c r="B349" s="64" t="s">
        <v>144</v>
      </c>
      <c r="C349" s="65">
        <v>4</v>
      </c>
      <c r="D349" s="65" t="s">
        <v>1413</v>
      </c>
      <c r="E349" s="65"/>
      <c r="F349" s="65"/>
      <c r="G349" s="64" t="s">
        <v>488</v>
      </c>
      <c r="H349" s="66" t="s">
        <v>1414</v>
      </c>
      <c r="I349" s="66"/>
      <c r="J349" s="64" t="s">
        <v>32</v>
      </c>
      <c r="K349" s="64" t="s">
        <v>33</v>
      </c>
      <c r="L349" s="64" t="s">
        <v>111</v>
      </c>
      <c r="M349" s="64"/>
      <c r="N349" s="64"/>
      <c r="O349" s="64"/>
      <c r="P349" s="64"/>
      <c r="Q349" s="280">
        <v>45579</v>
      </c>
      <c r="R349" s="280">
        <f>Q349+7</f>
        <v>45586</v>
      </c>
      <c r="S349" s="67"/>
      <c r="T349" s="67"/>
      <c r="U349" s="98"/>
      <c r="V349" s="98"/>
      <c r="W349" s="68" t="s">
        <v>1415</v>
      </c>
      <c r="X349" s="64"/>
    </row>
    <row r="350" spans="1:24" ht="24" customHeight="1">
      <c r="A350" s="68" t="s">
        <v>1416</v>
      </c>
      <c r="B350" s="64" t="s">
        <v>144</v>
      </c>
      <c r="C350" s="65">
        <v>4</v>
      </c>
      <c r="D350" s="65" t="s">
        <v>421</v>
      </c>
      <c r="E350" s="65"/>
      <c r="F350" s="65"/>
      <c r="G350" s="64" t="s">
        <v>1417</v>
      </c>
      <c r="H350" s="66" t="s">
        <v>1418</v>
      </c>
      <c r="I350" s="66"/>
      <c r="J350" s="64" t="s">
        <v>32</v>
      </c>
      <c r="K350" s="64" t="s">
        <v>33</v>
      </c>
      <c r="L350" s="64" t="s">
        <v>111</v>
      </c>
      <c r="M350" s="64"/>
      <c r="N350" s="64"/>
      <c r="O350" s="64"/>
      <c r="P350" s="64"/>
      <c r="Q350" s="280">
        <v>45579</v>
      </c>
      <c r="R350" s="280">
        <f>Q350+7</f>
        <v>45586</v>
      </c>
      <c r="S350" s="67"/>
      <c r="T350" s="67"/>
      <c r="U350" s="98"/>
      <c r="V350" s="98"/>
      <c r="W350" s="68" t="s">
        <v>1419</v>
      </c>
      <c r="X350" s="64"/>
    </row>
    <row r="351" spans="1:24" ht="38.1" customHeight="1">
      <c r="A351" s="68" t="s">
        <v>1420</v>
      </c>
      <c r="B351" s="85" t="s">
        <v>144</v>
      </c>
      <c r="C351" s="65">
        <v>4</v>
      </c>
      <c r="D351" s="65" t="s">
        <v>671</v>
      </c>
      <c r="E351" s="65"/>
      <c r="F351" s="65" t="s">
        <v>1421</v>
      </c>
      <c r="G351" s="64"/>
      <c r="H351" s="64" t="s">
        <v>485</v>
      </c>
      <c r="I351" s="64">
        <v>661</v>
      </c>
      <c r="J351" s="64" t="s">
        <v>32</v>
      </c>
      <c r="K351" s="64" t="s">
        <v>33</v>
      </c>
      <c r="L351" s="64" t="s">
        <v>46</v>
      </c>
      <c r="M351" s="64"/>
      <c r="N351" s="64"/>
      <c r="O351" s="64"/>
      <c r="P351" s="64"/>
      <c r="Q351" s="280">
        <v>45595</v>
      </c>
      <c r="R351" s="280">
        <f>Q351+7</f>
        <v>45602</v>
      </c>
      <c r="S351" s="67"/>
      <c r="T351" s="67"/>
      <c r="U351" s="98"/>
      <c r="V351" s="98"/>
      <c r="W351" s="68" t="s">
        <v>1422</v>
      </c>
      <c r="X351" s="64"/>
    </row>
    <row r="352" spans="1:24" ht="38.1" customHeight="1">
      <c r="A352" s="68" t="s">
        <v>1423</v>
      </c>
      <c r="B352" s="64" t="s">
        <v>144</v>
      </c>
      <c r="C352" s="65">
        <v>4</v>
      </c>
      <c r="D352" s="65"/>
      <c r="E352" s="65"/>
      <c r="F352" s="65" t="s">
        <v>1424</v>
      </c>
      <c r="G352" s="64" t="s">
        <v>1425</v>
      </c>
      <c r="H352" s="71" t="s">
        <v>1426</v>
      </c>
      <c r="I352" s="71"/>
      <c r="J352" s="64" t="s">
        <v>32</v>
      </c>
      <c r="K352" s="64" t="s">
        <v>33</v>
      </c>
      <c r="L352" s="64" t="s">
        <v>71</v>
      </c>
      <c r="M352" s="64"/>
      <c r="N352" s="64"/>
      <c r="O352" s="72"/>
      <c r="P352" s="72"/>
      <c r="Q352" s="280">
        <v>45593</v>
      </c>
      <c r="R352" s="280">
        <f>Q352+10</f>
        <v>45603</v>
      </c>
      <c r="S352" s="67"/>
      <c r="T352" s="67"/>
      <c r="U352" s="98"/>
      <c r="V352" s="98"/>
      <c r="W352" s="83" t="s">
        <v>1427</v>
      </c>
      <c r="X352" s="79"/>
    </row>
    <row r="353" spans="1:24" ht="24" customHeight="1">
      <c r="A353" s="68" t="s">
        <v>1428</v>
      </c>
      <c r="B353" s="85" t="s">
        <v>144</v>
      </c>
      <c r="C353" s="65">
        <v>4</v>
      </c>
      <c r="D353" s="65" t="s">
        <v>671</v>
      </c>
      <c r="E353" s="65"/>
      <c r="F353" s="65" t="s">
        <v>1421</v>
      </c>
      <c r="G353" s="64" t="s">
        <v>1429</v>
      </c>
      <c r="H353" s="64" t="s">
        <v>1430</v>
      </c>
      <c r="I353" s="64"/>
      <c r="J353" s="64" t="s">
        <v>32</v>
      </c>
      <c r="K353" s="64" t="s">
        <v>33</v>
      </c>
      <c r="L353" s="64" t="s">
        <v>46</v>
      </c>
      <c r="M353" s="64"/>
      <c r="N353" s="64"/>
      <c r="O353" s="64"/>
      <c r="P353" s="64"/>
      <c r="Q353" s="280">
        <v>45595</v>
      </c>
      <c r="R353" s="280">
        <f>Q353+10</f>
        <v>45605</v>
      </c>
      <c r="S353" s="67"/>
      <c r="T353" s="67"/>
      <c r="U353" s="98"/>
      <c r="V353" s="98"/>
      <c r="W353" s="68" t="s">
        <v>1431</v>
      </c>
      <c r="X353" s="64"/>
    </row>
    <row r="354" spans="1:24" s="69" customFormat="1" ht="18.95">
      <c r="A354" s="68" t="s">
        <v>1432</v>
      </c>
      <c r="B354" s="78" t="s">
        <v>144</v>
      </c>
      <c r="C354" s="65">
        <v>4</v>
      </c>
      <c r="D354" s="65"/>
      <c r="E354" s="65"/>
      <c r="F354" s="65" t="s">
        <v>416</v>
      </c>
      <c r="G354" s="64" t="s">
        <v>1433</v>
      </c>
      <c r="H354" s="64" t="s">
        <v>493</v>
      </c>
      <c r="I354" s="64"/>
      <c r="J354" s="64" t="s">
        <v>32</v>
      </c>
      <c r="K354" s="64" t="s">
        <v>33</v>
      </c>
      <c r="L354" s="64" t="s">
        <v>285</v>
      </c>
      <c r="M354" s="64"/>
      <c r="N354" s="64" t="s">
        <v>64</v>
      </c>
      <c r="O354" s="64"/>
      <c r="P354" s="64"/>
      <c r="Q354" s="280">
        <v>45595</v>
      </c>
      <c r="R354" s="280">
        <v>45614</v>
      </c>
      <c r="S354" s="67"/>
      <c r="T354" s="67"/>
      <c r="U354" s="98"/>
      <c r="V354" s="98"/>
      <c r="W354" s="68" t="s">
        <v>1434</v>
      </c>
      <c r="X354" s="64"/>
    </row>
    <row r="355" spans="1:24" s="69" customFormat="1" ht="18.95">
      <c r="A355" s="68" t="s">
        <v>1435</v>
      </c>
      <c r="B355" s="78" t="s">
        <v>144</v>
      </c>
      <c r="C355" s="65">
        <v>4</v>
      </c>
      <c r="D355" s="65"/>
      <c r="E355" s="65"/>
      <c r="F355" s="65" t="s">
        <v>416</v>
      </c>
      <c r="G355" s="64"/>
      <c r="H355" s="64" t="s">
        <v>1436</v>
      </c>
      <c r="I355" s="64"/>
      <c r="J355" s="64" t="s">
        <v>32</v>
      </c>
      <c r="K355" s="64" t="s">
        <v>499</v>
      </c>
      <c r="L355" s="64" t="s">
        <v>111</v>
      </c>
      <c r="M355" s="64"/>
      <c r="N355" s="64"/>
      <c r="O355" s="64"/>
      <c r="P355" s="64"/>
      <c r="Q355" s="280">
        <v>45561</v>
      </c>
      <c r="R355" s="280">
        <v>45614</v>
      </c>
      <c r="S355" s="67"/>
      <c r="T355" s="67"/>
      <c r="U355" s="98"/>
      <c r="V355" s="98"/>
      <c r="W355" s="68"/>
      <c r="X355" s="64"/>
    </row>
    <row r="356" spans="1:24" s="69" customFormat="1" ht="38.1">
      <c r="A356" s="255" t="s">
        <v>1437</v>
      </c>
      <c r="B356" s="64"/>
      <c r="C356" s="65">
        <v>4</v>
      </c>
      <c r="D356" s="65"/>
      <c r="E356" s="65"/>
      <c r="F356" s="65"/>
      <c r="G356" s="64"/>
      <c r="H356" s="71" t="s">
        <v>1438</v>
      </c>
      <c r="I356" s="71"/>
      <c r="J356" s="64" t="s">
        <v>1439</v>
      </c>
      <c r="K356" s="64" t="s">
        <v>133</v>
      </c>
      <c r="L356" s="64"/>
      <c r="M356" s="64"/>
      <c r="N356" s="64"/>
      <c r="O356" s="72"/>
      <c r="P356" s="72"/>
      <c r="Q356" s="280">
        <v>45616</v>
      </c>
      <c r="R356" s="280">
        <f>Q356+8</f>
        <v>45624</v>
      </c>
      <c r="S356" s="67"/>
      <c r="T356" s="67"/>
      <c r="U356" s="98"/>
      <c r="V356" s="98"/>
      <c r="W356" s="68" t="s">
        <v>1440</v>
      </c>
      <c r="X356" s="64"/>
    </row>
    <row r="357" spans="1:24" ht="38.1" customHeight="1">
      <c r="A357" s="68" t="s">
        <v>1441</v>
      </c>
      <c r="B357" s="64" t="s">
        <v>144</v>
      </c>
      <c r="C357" s="65">
        <v>4</v>
      </c>
      <c r="D357" s="65"/>
      <c r="E357" s="65"/>
      <c r="F357" s="65" t="s">
        <v>1424</v>
      </c>
      <c r="G357" s="64" t="s">
        <v>1442</v>
      </c>
      <c r="H357" s="64" t="s">
        <v>1443</v>
      </c>
      <c r="I357" s="64"/>
      <c r="J357" s="64" t="s">
        <v>32</v>
      </c>
      <c r="K357" s="64" t="s">
        <v>33</v>
      </c>
      <c r="L357" s="64" t="s">
        <v>71</v>
      </c>
      <c r="M357" s="64"/>
      <c r="N357" s="64" t="s">
        <v>64</v>
      </c>
      <c r="O357" s="64"/>
      <c r="P357" s="64"/>
      <c r="Q357" s="280">
        <v>45609</v>
      </c>
      <c r="R357" s="280">
        <f>Q357+21</f>
        <v>45630</v>
      </c>
      <c r="S357" s="67"/>
      <c r="T357" s="67"/>
      <c r="U357" s="98"/>
      <c r="V357" s="98"/>
      <c r="W357" s="68" t="s">
        <v>1444</v>
      </c>
      <c r="X357" s="64"/>
    </row>
    <row r="358" spans="1:24" ht="114" customHeight="1">
      <c r="A358" s="68" t="s">
        <v>1445</v>
      </c>
      <c r="B358" s="64" t="s">
        <v>144</v>
      </c>
      <c r="C358" s="65">
        <v>4</v>
      </c>
      <c r="D358" s="65"/>
      <c r="E358" s="65"/>
      <c r="F358" s="65"/>
      <c r="G358" s="64"/>
      <c r="H358" s="64" t="s">
        <v>1446</v>
      </c>
      <c r="I358" s="64"/>
      <c r="J358" s="64" t="s">
        <v>32</v>
      </c>
      <c r="K358" s="64" t="s">
        <v>1447</v>
      </c>
      <c r="L358" s="79"/>
      <c r="M358" s="79"/>
      <c r="N358" s="79"/>
      <c r="O358" s="79"/>
      <c r="P358" s="79"/>
      <c r="Q358" s="280">
        <v>45615</v>
      </c>
      <c r="R358" s="280">
        <f>Q358+20</f>
        <v>45635</v>
      </c>
      <c r="S358" s="67"/>
      <c r="T358" s="67"/>
      <c r="U358" s="98"/>
      <c r="V358" s="98"/>
      <c r="W358" s="68" t="s">
        <v>1448</v>
      </c>
      <c r="X358" s="64"/>
    </row>
    <row r="359" spans="1:24" ht="24" customHeight="1">
      <c r="A359" s="68" t="s">
        <v>1449</v>
      </c>
      <c r="B359" s="64" t="s">
        <v>144</v>
      </c>
      <c r="C359" s="65">
        <v>4</v>
      </c>
      <c r="D359" s="65" t="s">
        <v>671</v>
      </c>
      <c r="E359" s="65"/>
      <c r="F359" s="65"/>
      <c r="G359" s="64"/>
      <c r="H359" s="64" t="s">
        <v>1450</v>
      </c>
      <c r="I359" s="64"/>
      <c r="J359" s="64" t="s">
        <v>32</v>
      </c>
      <c r="K359" s="64" t="s">
        <v>33</v>
      </c>
      <c r="L359" s="64" t="s">
        <v>46</v>
      </c>
      <c r="M359" s="64"/>
      <c r="N359" s="64"/>
      <c r="O359" s="64"/>
      <c r="P359" s="64"/>
      <c r="Q359" s="280">
        <v>45631</v>
      </c>
      <c r="R359" s="280">
        <f>Q359+7</f>
        <v>45638</v>
      </c>
      <c r="S359" s="67"/>
      <c r="T359" s="67"/>
      <c r="U359" s="98"/>
      <c r="V359" s="98"/>
      <c r="W359" s="68" t="s">
        <v>1451</v>
      </c>
      <c r="X359" s="64"/>
    </row>
    <row r="360" spans="1:24" ht="18" customHeight="1">
      <c r="A360" s="68" t="s">
        <v>1452</v>
      </c>
      <c r="B360" s="64" t="s">
        <v>144</v>
      </c>
      <c r="C360" s="65">
        <v>4</v>
      </c>
      <c r="D360" s="65"/>
      <c r="E360" s="65"/>
      <c r="F360" s="65"/>
      <c r="G360" s="64" t="s">
        <v>1453</v>
      </c>
      <c r="H360" s="64" t="s">
        <v>1454</v>
      </c>
      <c r="I360" s="64"/>
      <c r="J360" s="64" t="s">
        <v>32</v>
      </c>
      <c r="K360" s="64" t="s">
        <v>33</v>
      </c>
      <c r="L360" s="64" t="s">
        <v>34</v>
      </c>
      <c r="M360" s="64" t="s">
        <v>1455</v>
      </c>
      <c r="N360" s="64"/>
      <c r="O360" s="64"/>
      <c r="P360" s="64"/>
      <c r="Q360" s="280">
        <v>45637</v>
      </c>
      <c r="R360" s="280">
        <f>Q360+7</f>
        <v>45644</v>
      </c>
      <c r="S360" s="67"/>
      <c r="T360" s="67"/>
      <c r="U360" s="98"/>
      <c r="V360" s="98"/>
      <c r="W360" s="68" t="s">
        <v>1456</v>
      </c>
      <c r="X360" s="64"/>
    </row>
    <row r="361" spans="1:24" s="69" customFormat="1" ht="38.1">
      <c r="A361" s="68" t="s">
        <v>1457</v>
      </c>
      <c r="B361" s="64" t="s">
        <v>199</v>
      </c>
      <c r="C361" s="65">
        <v>4</v>
      </c>
      <c r="D361" s="65"/>
      <c r="E361" s="65"/>
      <c r="F361" s="65"/>
      <c r="G361" s="64" t="s">
        <v>1458</v>
      </c>
      <c r="H361" s="64" t="s">
        <v>1459</v>
      </c>
      <c r="I361" s="64"/>
      <c r="J361" s="64" t="s">
        <v>32</v>
      </c>
      <c r="K361" s="64" t="s">
        <v>33</v>
      </c>
      <c r="L361" s="64" t="s">
        <v>111</v>
      </c>
      <c r="M361" s="64" t="s">
        <v>1460</v>
      </c>
      <c r="N361" s="64"/>
      <c r="O361" s="64"/>
      <c r="P361" s="64"/>
      <c r="Q361" s="280">
        <v>45602</v>
      </c>
      <c r="R361" s="280">
        <f>Q361+75</f>
        <v>45677</v>
      </c>
      <c r="S361" s="67"/>
      <c r="T361" s="67"/>
      <c r="U361" s="98"/>
      <c r="V361" s="98"/>
      <c r="W361" s="68" t="s">
        <v>1461</v>
      </c>
      <c r="X361" s="64"/>
    </row>
    <row r="362" spans="1:24" ht="60.95" customHeight="1">
      <c r="A362" s="250" t="s">
        <v>1462</v>
      </c>
      <c r="B362" s="64" t="s">
        <v>144</v>
      </c>
      <c r="C362" s="65">
        <v>4</v>
      </c>
      <c r="D362" s="65" t="s">
        <v>421</v>
      </c>
      <c r="E362" s="65"/>
      <c r="F362" s="65"/>
      <c r="G362" s="64"/>
      <c r="H362" s="66" t="s">
        <v>1463</v>
      </c>
      <c r="I362" s="66"/>
      <c r="J362" s="64" t="s">
        <v>32</v>
      </c>
      <c r="K362" s="64" t="s">
        <v>33</v>
      </c>
      <c r="L362" s="64"/>
      <c r="M362" s="64"/>
      <c r="N362" s="64"/>
      <c r="O362" s="64"/>
      <c r="P362" s="64"/>
      <c r="Q362" s="280">
        <v>45685</v>
      </c>
      <c r="R362" s="280">
        <f>Q362+7</f>
        <v>45692</v>
      </c>
      <c r="S362" s="67"/>
      <c r="T362" s="67"/>
      <c r="U362" s="98"/>
      <c r="V362" s="98"/>
      <c r="W362" s="68" t="s">
        <v>1464</v>
      </c>
      <c r="X362" s="64"/>
    </row>
    <row r="363" spans="1:24" ht="24" customHeight="1">
      <c r="A363" s="68" t="s">
        <v>1465</v>
      </c>
      <c r="B363" s="64" t="s">
        <v>144</v>
      </c>
      <c r="C363" s="65">
        <v>0</v>
      </c>
      <c r="D363" s="65" t="s">
        <v>502</v>
      </c>
      <c r="E363" s="65"/>
      <c r="F363" s="65"/>
      <c r="G363" s="64"/>
      <c r="H363" s="64" t="s">
        <v>593</v>
      </c>
      <c r="I363" s="64"/>
      <c r="J363" s="64"/>
      <c r="K363" s="64" t="s">
        <v>33</v>
      </c>
      <c r="L363" s="64"/>
      <c r="M363" s="64"/>
      <c r="N363" s="64"/>
      <c r="O363" s="64"/>
      <c r="P363" s="64"/>
      <c r="Q363" s="280">
        <v>45687</v>
      </c>
      <c r="R363" s="280">
        <f>Q363+5</f>
        <v>45692</v>
      </c>
      <c r="S363" s="75"/>
      <c r="T363" s="75"/>
      <c r="U363" s="284"/>
      <c r="V363" s="284"/>
      <c r="W363" s="68" t="s">
        <v>1466</v>
      </c>
      <c r="X363" s="64"/>
    </row>
    <row r="364" spans="1:24" s="69" customFormat="1" ht="132.94999999999999">
      <c r="A364" s="68" t="s">
        <v>1467</v>
      </c>
      <c r="B364" s="64" t="s">
        <v>144</v>
      </c>
      <c r="C364" s="65">
        <v>4</v>
      </c>
      <c r="D364" s="65"/>
      <c r="E364" s="65"/>
      <c r="F364" s="65"/>
      <c r="G364" s="64" t="s">
        <v>1468</v>
      </c>
      <c r="H364" s="64" t="s">
        <v>718</v>
      </c>
      <c r="I364" s="64"/>
      <c r="J364" s="64" t="s">
        <v>32</v>
      </c>
      <c r="K364" s="64" t="s">
        <v>33</v>
      </c>
      <c r="L364" s="64"/>
      <c r="M364" s="64"/>
      <c r="N364" s="64"/>
      <c r="O364" s="64"/>
      <c r="P364" s="64"/>
      <c r="Q364" s="280">
        <v>45742</v>
      </c>
      <c r="R364" s="280">
        <v>45730</v>
      </c>
      <c r="S364" s="75"/>
      <c r="T364" s="75"/>
      <c r="U364" s="284"/>
      <c r="V364" s="284"/>
      <c r="W364" s="68" t="s">
        <v>1469</v>
      </c>
      <c r="X364" s="64"/>
    </row>
    <row r="365" spans="1:24" s="69" customFormat="1" ht="18.95">
      <c r="A365" s="68" t="s">
        <v>1470</v>
      </c>
      <c r="B365" s="64" t="s">
        <v>144</v>
      </c>
      <c r="C365" s="65">
        <v>4</v>
      </c>
      <c r="D365" s="65"/>
      <c r="E365" s="65"/>
      <c r="F365" s="65"/>
      <c r="G365" s="64" t="s">
        <v>488</v>
      </c>
      <c r="H365" s="64" t="s">
        <v>1471</v>
      </c>
      <c r="I365" s="64"/>
      <c r="J365" s="64" t="s">
        <v>32</v>
      </c>
      <c r="K365" s="64" t="s">
        <v>33</v>
      </c>
      <c r="L365" s="64" t="s">
        <v>1472</v>
      </c>
      <c r="M365" s="64"/>
      <c r="N365" s="64"/>
      <c r="O365" s="64"/>
      <c r="P365" s="64"/>
      <c r="Q365" s="280">
        <v>45737</v>
      </c>
      <c r="R365" s="280">
        <f>Q365+7</f>
        <v>45744</v>
      </c>
      <c r="S365" s="67"/>
      <c r="T365" s="67"/>
      <c r="U365" s="98"/>
      <c r="V365" s="98"/>
      <c r="W365" s="68" t="s">
        <v>1473</v>
      </c>
      <c r="X365" s="64"/>
    </row>
    <row r="366" spans="1:24" s="69" customFormat="1" ht="57.95" customHeight="1">
      <c r="A366" s="68" t="s">
        <v>1474</v>
      </c>
      <c r="B366" s="64" t="s">
        <v>144</v>
      </c>
      <c r="C366" s="65">
        <v>4</v>
      </c>
      <c r="D366" s="65"/>
      <c r="E366" s="65"/>
      <c r="F366" s="65"/>
      <c r="G366" s="64" t="s">
        <v>1154</v>
      </c>
      <c r="H366" s="66" t="s">
        <v>1475</v>
      </c>
      <c r="I366" s="66"/>
      <c r="J366" s="64" t="s">
        <v>32</v>
      </c>
      <c r="K366" s="64" t="s">
        <v>1476</v>
      </c>
      <c r="L366" s="64"/>
      <c r="M366" s="64"/>
      <c r="N366" s="64"/>
      <c r="O366" s="64"/>
      <c r="P366" s="64"/>
      <c r="Q366" s="280">
        <v>45734</v>
      </c>
      <c r="R366" s="280">
        <f>Q366+14</f>
        <v>45748</v>
      </c>
      <c r="S366" s="67"/>
      <c r="T366" s="67"/>
      <c r="U366" s="98"/>
      <c r="V366" s="98"/>
      <c r="W366" s="68" t="s">
        <v>1477</v>
      </c>
      <c r="X366" s="64"/>
    </row>
    <row r="367" spans="1:24" s="69" customFormat="1" ht="18.95">
      <c r="A367" s="68" t="s">
        <v>1478</v>
      </c>
      <c r="B367" s="64" t="s">
        <v>144</v>
      </c>
      <c r="C367" s="65">
        <v>4</v>
      </c>
      <c r="D367" s="65"/>
      <c r="E367" s="65"/>
      <c r="F367" s="65" t="s">
        <v>32</v>
      </c>
      <c r="G367" s="64" t="s">
        <v>488</v>
      </c>
      <c r="H367" s="64" t="s">
        <v>1479</v>
      </c>
      <c r="I367" s="64"/>
      <c r="J367" s="64" t="s">
        <v>32</v>
      </c>
      <c r="K367" s="64" t="s">
        <v>33</v>
      </c>
      <c r="L367" s="64" t="s">
        <v>111</v>
      </c>
      <c r="M367" s="64" t="s">
        <v>134</v>
      </c>
      <c r="N367" s="64" t="s">
        <v>64</v>
      </c>
      <c r="O367" s="64"/>
      <c r="P367" s="64"/>
      <c r="Q367" s="280">
        <v>45742</v>
      </c>
      <c r="R367" s="280">
        <f>Q367+7</f>
        <v>45749</v>
      </c>
      <c r="S367" s="67"/>
      <c r="T367" s="67"/>
      <c r="U367" s="98"/>
      <c r="V367" s="98"/>
      <c r="W367" s="68" t="s">
        <v>1480</v>
      </c>
      <c r="X367" s="64"/>
    </row>
    <row r="368" spans="1:24" s="69" customFormat="1" ht="24" customHeight="1">
      <c r="A368" s="68" t="s">
        <v>1481</v>
      </c>
      <c r="B368" s="64" t="s">
        <v>268</v>
      </c>
      <c r="C368" s="65">
        <v>4</v>
      </c>
      <c r="D368" s="65" t="s">
        <v>28</v>
      </c>
      <c r="E368" s="65"/>
      <c r="F368" s="65"/>
      <c r="G368" s="64" t="s">
        <v>927</v>
      </c>
      <c r="H368" s="71" t="s">
        <v>1482</v>
      </c>
      <c r="I368" s="71"/>
      <c r="J368" s="64" t="s">
        <v>32</v>
      </c>
      <c r="K368" s="64" t="s">
        <v>33</v>
      </c>
      <c r="L368" s="64" t="s">
        <v>966</v>
      </c>
      <c r="M368" s="64"/>
      <c r="N368" s="64"/>
      <c r="O368" s="72"/>
      <c r="P368" s="72"/>
      <c r="Q368" s="280">
        <v>45747</v>
      </c>
      <c r="R368" s="280">
        <f>Q368+7</f>
        <v>45754</v>
      </c>
      <c r="S368" s="67"/>
      <c r="T368" s="67"/>
      <c r="U368" s="98"/>
      <c r="V368" s="98"/>
      <c r="W368" s="68" t="s">
        <v>1483</v>
      </c>
      <c r="X368" s="64"/>
    </row>
    <row r="369" spans="1:24" s="69" customFormat="1" ht="24" customHeight="1">
      <c r="A369" s="68" t="s">
        <v>1484</v>
      </c>
      <c r="B369" s="64" t="s">
        <v>144</v>
      </c>
      <c r="C369" s="65">
        <v>4</v>
      </c>
      <c r="D369" s="65" t="s">
        <v>1485</v>
      </c>
      <c r="E369" s="65"/>
      <c r="F369" s="65"/>
      <c r="G369" s="64" t="s">
        <v>1486</v>
      </c>
      <c r="H369" s="66" t="s">
        <v>1487</v>
      </c>
      <c r="I369" s="66"/>
      <c r="J369" s="64" t="s">
        <v>32</v>
      </c>
      <c r="K369" s="64" t="s">
        <v>33</v>
      </c>
      <c r="L369" s="64" t="s">
        <v>46</v>
      </c>
      <c r="M369" s="64"/>
      <c r="N369" s="64"/>
      <c r="O369" s="64"/>
      <c r="P369" s="64">
        <v>3</v>
      </c>
      <c r="Q369" s="280">
        <v>45747</v>
      </c>
      <c r="R369" s="280">
        <f>Q369+7</f>
        <v>45754</v>
      </c>
      <c r="S369" s="67"/>
      <c r="T369" s="67"/>
      <c r="U369" s="98"/>
      <c r="V369" s="98"/>
      <c r="W369" s="68" t="s">
        <v>1488</v>
      </c>
      <c r="X369" s="64"/>
    </row>
    <row r="370" spans="1:24" s="69" customFormat="1" ht="18.95">
      <c r="A370" s="255" t="s">
        <v>1489</v>
      </c>
      <c r="B370" s="64" t="s">
        <v>144</v>
      </c>
      <c r="C370" s="65">
        <v>4</v>
      </c>
      <c r="D370" s="65" t="s">
        <v>28</v>
      </c>
      <c r="E370" s="65"/>
      <c r="F370" s="65"/>
      <c r="G370" s="64"/>
      <c r="H370" s="71" t="s">
        <v>1490</v>
      </c>
      <c r="I370" s="71"/>
      <c r="J370" s="64" t="s">
        <v>61</v>
      </c>
      <c r="K370" s="64" t="s">
        <v>33</v>
      </c>
      <c r="L370" s="64"/>
      <c r="M370" s="64"/>
      <c r="N370" s="64"/>
      <c r="O370" s="72"/>
      <c r="P370" s="72"/>
      <c r="Q370" s="280">
        <v>45750</v>
      </c>
      <c r="R370" s="280">
        <f>Q370+7</f>
        <v>45757</v>
      </c>
      <c r="S370" s="67"/>
      <c r="T370" s="67"/>
      <c r="U370" s="98"/>
      <c r="V370" s="98"/>
      <c r="W370" s="68" t="s">
        <v>1491</v>
      </c>
      <c r="X370" s="64"/>
    </row>
    <row r="371" spans="1:24" s="69" customFormat="1" ht="18.95">
      <c r="A371" s="68" t="s">
        <v>1492</v>
      </c>
      <c r="B371" s="64" t="s">
        <v>104</v>
      </c>
      <c r="C371" s="65">
        <v>4</v>
      </c>
      <c r="D371" s="65" t="s">
        <v>421</v>
      </c>
      <c r="E371" s="65"/>
      <c r="F371" s="65"/>
      <c r="G371" s="64" t="s">
        <v>1493</v>
      </c>
      <c r="H371" s="71" t="s">
        <v>1494</v>
      </c>
      <c r="I371" s="71"/>
      <c r="J371" s="64" t="s">
        <v>32</v>
      </c>
      <c r="K371" s="64" t="s">
        <v>33</v>
      </c>
      <c r="L371" s="64" t="s">
        <v>1495</v>
      </c>
      <c r="M371" s="64"/>
      <c r="N371" s="64"/>
      <c r="O371" s="72"/>
      <c r="P371" s="72"/>
      <c r="Q371" s="280">
        <v>45708</v>
      </c>
      <c r="R371" s="280">
        <f>Q371+50</f>
        <v>45758</v>
      </c>
      <c r="S371" s="67"/>
      <c r="T371" s="67"/>
      <c r="U371" s="98"/>
      <c r="V371" s="98"/>
      <c r="W371" s="68" t="s">
        <v>1496</v>
      </c>
      <c r="X371" s="64"/>
    </row>
    <row r="372" spans="1:24" s="69" customFormat="1" ht="152.1">
      <c r="A372" s="68" t="s">
        <v>1497</v>
      </c>
      <c r="B372" s="64" t="s">
        <v>144</v>
      </c>
      <c r="C372" s="65">
        <v>4</v>
      </c>
      <c r="D372" s="65"/>
      <c r="E372" s="65" t="s">
        <v>1498</v>
      </c>
      <c r="F372" s="65" t="s">
        <v>32</v>
      </c>
      <c r="G372" s="64"/>
      <c r="H372" s="64" t="s">
        <v>1499</v>
      </c>
      <c r="I372" s="64"/>
      <c r="J372" s="64" t="s">
        <v>32</v>
      </c>
      <c r="K372" s="64" t="s">
        <v>224</v>
      </c>
      <c r="L372" s="64" t="s">
        <v>46</v>
      </c>
      <c r="M372" s="64"/>
      <c r="N372" s="64"/>
      <c r="O372" s="64"/>
      <c r="P372" s="64"/>
      <c r="Q372" s="280">
        <v>46000</v>
      </c>
      <c r="R372" s="280">
        <f>Q372+90</f>
        <v>46090</v>
      </c>
      <c r="S372" s="67"/>
      <c r="T372" s="67"/>
      <c r="U372" s="98"/>
      <c r="V372" s="98"/>
      <c r="W372" s="68" t="s">
        <v>1500</v>
      </c>
      <c r="X372" s="64"/>
    </row>
    <row r="373" spans="1:24" s="69" customFormat="1" ht="18.95">
      <c r="A373" s="68" t="s">
        <v>1501</v>
      </c>
      <c r="B373" s="64" t="s">
        <v>144</v>
      </c>
      <c r="C373" s="65">
        <v>4</v>
      </c>
      <c r="D373" s="65" t="s">
        <v>421</v>
      </c>
      <c r="E373" s="65"/>
      <c r="F373" s="65" t="s">
        <v>32</v>
      </c>
      <c r="G373" s="64" t="s">
        <v>454</v>
      </c>
      <c r="H373" s="64" t="s">
        <v>1502</v>
      </c>
      <c r="I373" s="64"/>
      <c r="J373" s="64" t="s">
        <v>32</v>
      </c>
      <c r="K373" s="64" t="s">
        <v>33</v>
      </c>
      <c r="L373" s="64" t="s">
        <v>1503</v>
      </c>
      <c r="M373" s="64"/>
      <c r="N373" s="64"/>
      <c r="O373" s="64"/>
      <c r="P373" s="64"/>
      <c r="Q373" s="280">
        <v>45757</v>
      </c>
      <c r="R373" s="280">
        <f>Q373+7</f>
        <v>45764</v>
      </c>
      <c r="S373" s="75"/>
      <c r="T373" s="75"/>
      <c r="U373" s="284"/>
      <c r="V373" s="284"/>
      <c r="W373" s="68" t="s">
        <v>1504</v>
      </c>
      <c r="X373" s="64"/>
    </row>
    <row r="374" spans="1:24" s="69" customFormat="1" ht="114">
      <c r="A374" s="257" t="s">
        <v>1505</v>
      </c>
      <c r="B374" s="64"/>
      <c r="C374" s="65">
        <v>4</v>
      </c>
      <c r="D374" s="65"/>
      <c r="E374" s="65"/>
      <c r="F374" s="65" t="s">
        <v>1506</v>
      </c>
      <c r="G374" s="64"/>
      <c r="H374" s="71" t="s">
        <v>904</v>
      </c>
      <c r="I374" s="71"/>
      <c r="J374" s="64" t="s">
        <v>905</v>
      </c>
      <c r="K374" s="64" t="s">
        <v>33</v>
      </c>
      <c r="L374" s="64"/>
      <c r="M374" s="64"/>
      <c r="N374" s="64"/>
      <c r="O374" s="72"/>
      <c r="P374" s="72"/>
      <c r="Q374" s="280">
        <v>45742</v>
      </c>
      <c r="R374" s="280">
        <f>Q374+60</f>
        <v>45802</v>
      </c>
      <c r="S374" s="67"/>
      <c r="T374" s="67"/>
      <c r="U374" s="98"/>
      <c r="V374" s="98"/>
      <c r="W374" s="68" t="s">
        <v>1507</v>
      </c>
      <c r="X374" s="64"/>
    </row>
    <row r="375" spans="1:24" s="69" customFormat="1" ht="38.1">
      <c r="A375" s="68" t="s">
        <v>1508</v>
      </c>
      <c r="B375" s="64" t="s">
        <v>199</v>
      </c>
      <c r="C375" s="65">
        <v>4</v>
      </c>
      <c r="D375" s="65"/>
      <c r="E375" s="65"/>
      <c r="F375" s="65"/>
      <c r="G375" s="64" t="s">
        <v>90</v>
      </c>
      <c r="H375" s="66" t="s">
        <v>1509</v>
      </c>
      <c r="I375" s="66"/>
      <c r="J375" s="64" t="s">
        <v>32</v>
      </c>
      <c r="K375" s="64" t="s">
        <v>33</v>
      </c>
      <c r="L375" s="64"/>
      <c r="M375" s="64"/>
      <c r="N375" s="64"/>
      <c r="O375" s="64"/>
      <c r="P375" s="72">
        <v>45707</v>
      </c>
      <c r="Q375" s="280">
        <v>45719</v>
      </c>
      <c r="R375" s="280">
        <f>Q375+90</f>
        <v>45809</v>
      </c>
      <c r="S375" s="67" t="s">
        <v>260</v>
      </c>
      <c r="T375" s="67"/>
      <c r="U375" s="98"/>
      <c r="V375" s="98"/>
      <c r="W375" s="68" t="s">
        <v>1510</v>
      </c>
      <c r="X375" s="64"/>
    </row>
    <row r="376" spans="1:24" s="69" customFormat="1" ht="57">
      <c r="A376" s="83" t="s">
        <v>1511</v>
      </c>
      <c r="B376" s="64" t="s">
        <v>199</v>
      </c>
      <c r="C376" s="65">
        <v>4</v>
      </c>
      <c r="D376" s="65"/>
      <c r="E376" s="65"/>
      <c r="F376" s="65"/>
      <c r="G376" s="79" t="s">
        <v>1136</v>
      </c>
      <c r="H376" s="79" t="s">
        <v>1512</v>
      </c>
      <c r="I376" s="79"/>
      <c r="J376" s="79" t="s">
        <v>32</v>
      </c>
      <c r="K376" s="79" t="s">
        <v>33</v>
      </c>
      <c r="L376" s="79" t="s">
        <v>46</v>
      </c>
      <c r="M376" s="79" t="s">
        <v>1513</v>
      </c>
      <c r="N376" s="79" t="s">
        <v>64</v>
      </c>
      <c r="O376" s="79"/>
      <c r="P376" s="79"/>
      <c r="Q376" s="280">
        <v>45749</v>
      </c>
      <c r="R376" s="280">
        <f>Q376+60</f>
        <v>45809</v>
      </c>
      <c r="S376" s="82"/>
      <c r="T376" s="82"/>
      <c r="U376" s="285"/>
      <c r="V376" s="285"/>
      <c r="W376" s="83" t="s">
        <v>1514</v>
      </c>
      <c r="X376" s="79"/>
    </row>
    <row r="377" spans="1:24" s="69" customFormat="1" ht="409.6">
      <c r="A377" s="68" t="s">
        <v>1213</v>
      </c>
      <c r="B377" s="64" t="s">
        <v>26</v>
      </c>
      <c r="C377" s="65">
        <v>4</v>
      </c>
      <c r="D377" s="65" t="s">
        <v>421</v>
      </c>
      <c r="E377" s="65"/>
      <c r="F377" s="65" t="s">
        <v>32</v>
      </c>
      <c r="G377" s="64" t="s">
        <v>59</v>
      </c>
      <c r="H377" s="66" t="s">
        <v>1515</v>
      </c>
      <c r="I377" s="66">
        <v>1014</v>
      </c>
      <c r="J377" s="64" t="s">
        <v>32</v>
      </c>
      <c r="K377" s="64" t="s">
        <v>33</v>
      </c>
      <c r="L377" s="64" t="s">
        <v>364</v>
      </c>
      <c r="M377" s="64"/>
      <c r="N377" s="64"/>
      <c r="O377" s="64"/>
      <c r="P377" s="64"/>
      <c r="Q377" s="280">
        <v>45805</v>
      </c>
      <c r="R377" s="280">
        <v>45819</v>
      </c>
      <c r="S377" s="67"/>
      <c r="T377" s="67"/>
      <c r="U377" s="98"/>
      <c r="V377" s="98"/>
      <c r="W377" s="68" t="s">
        <v>1516</v>
      </c>
      <c r="X377" s="64"/>
    </row>
    <row r="378" spans="1:24" s="69" customFormat="1" ht="132.94999999999999">
      <c r="A378" s="68" t="s">
        <v>1517</v>
      </c>
      <c r="B378" s="64" t="s">
        <v>144</v>
      </c>
      <c r="C378" s="65">
        <v>4</v>
      </c>
      <c r="D378" s="65" t="s">
        <v>421</v>
      </c>
      <c r="E378" s="65"/>
      <c r="F378" s="65" t="s">
        <v>32</v>
      </c>
      <c r="G378" s="64"/>
      <c r="H378" s="71" t="s">
        <v>1518</v>
      </c>
      <c r="I378" s="71"/>
      <c r="J378" s="64" t="s">
        <v>32</v>
      </c>
      <c r="K378" s="64" t="s">
        <v>33</v>
      </c>
      <c r="L378" s="64" t="s">
        <v>711</v>
      </c>
      <c r="M378" s="64"/>
      <c r="N378" s="64"/>
      <c r="O378" s="72"/>
      <c r="P378" s="72"/>
      <c r="Q378" s="280">
        <v>45832</v>
      </c>
      <c r="R378" s="280">
        <f>Q378+90</f>
        <v>45922</v>
      </c>
      <c r="S378" s="67"/>
      <c r="T378" s="67"/>
      <c r="U378" s="98"/>
      <c r="V378" s="98"/>
      <c r="W378" s="68" t="s">
        <v>1519</v>
      </c>
      <c r="X378" s="64"/>
    </row>
    <row r="379" spans="1:24" s="69" customFormat="1" ht="243" customHeight="1">
      <c r="A379" s="251" t="s">
        <v>1520</v>
      </c>
      <c r="B379" s="64" t="s">
        <v>144</v>
      </c>
      <c r="C379" s="65">
        <v>4</v>
      </c>
      <c r="D379" s="65"/>
      <c r="E379" s="65"/>
      <c r="F379" s="65"/>
      <c r="G379" s="64" t="s">
        <v>1521</v>
      </c>
      <c r="H379" s="64" t="s">
        <v>1522</v>
      </c>
      <c r="I379" s="64"/>
      <c r="J379" s="64" t="s">
        <v>32</v>
      </c>
      <c r="K379" s="64" t="s">
        <v>594</v>
      </c>
      <c r="L379" s="64" t="s">
        <v>186</v>
      </c>
      <c r="M379" s="64"/>
      <c r="N379" s="64"/>
      <c r="O379" s="64"/>
      <c r="P379" s="64"/>
      <c r="Q379" s="280">
        <v>46008</v>
      </c>
      <c r="R379" s="280">
        <f>Q379+21</f>
        <v>46029</v>
      </c>
      <c r="S379" s="67" t="s">
        <v>37</v>
      </c>
      <c r="T379" s="67"/>
      <c r="U379" s="98"/>
      <c r="V379" s="98"/>
      <c r="W379" s="68" t="s">
        <v>1523</v>
      </c>
      <c r="X379" s="64"/>
    </row>
    <row r="380" spans="1:24" s="69" customFormat="1" ht="75" customHeight="1">
      <c r="A380" s="68" t="s">
        <v>1524</v>
      </c>
      <c r="B380" s="64" t="s">
        <v>144</v>
      </c>
      <c r="C380" s="65">
        <v>4</v>
      </c>
      <c r="D380" s="65" t="s">
        <v>464</v>
      </c>
      <c r="E380" s="65"/>
      <c r="F380" s="65" t="s">
        <v>1525</v>
      </c>
      <c r="G380" s="64"/>
      <c r="H380" s="64" t="s">
        <v>1526</v>
      </c>
      <c r="I380" s="64"/>
      <c r="J380" s="64" t="s">
        <v>32</v>
      </c>
      <c r="K380" s="64" t="s">
        <v>259</v>
      </c>
      <c r="L380" s="64" t="s">
        <v>186</v>
      </c>
      <c r="M380" s="64"/>
      <c r="N380" s="64"/>
      <c r="O380" s="64"/>
      <c r="P380" s="64"/>
      <c r="Q380" s="280">
        <v>45930</v>
      </c>
      <c r="R380" s="280">
        <f>Q380+30</f>
        <v>45960</v>
      </c>
      <c r="S380" s="67" t="s">
        <v>64</v>
      </c>
      <c r="T380" s="67"/>
      <c r="U380" s="284"/>
      <c r="V380" s="284"/>
      <c r="W380" s="68" t="s">
        <v>1527</v>
      </c>
      <c r="X380" s="64"/>
    </row>
    <row r="381" spans="1:24" s="69" customFormat="1" ht="114">
      <c r="A381" s="68" t="s">
        <v>1528</v>
      </c>
      <c r="B381" s="64" t="s">
        <v>144</v>
      </c>
      <c r="C381" s="65">
        <v>4</v>
      </c>
      <c r="D381" s="65"/>
      <c r="E381" s="65"/>
      <c r="F381" s="65"/>
      <c r="G381" s="64" t="s">
        <v>1529</v>
      </c>
      <c r="H381" s="64" t="s">
        <v>776</v>
      </c>
      <c r="I381" s="64"/>
      <c r="J381" s="64" t="s">
        <v>32</v>
      </c>
      <c r="K381" s="64" t="s">
        <v>33</v>
      </c>
      <c r="L381" s="79" t="s">
        <v>186</v>
      </c>
      <c r="M381" s="79" t="s">
        <v>82</v>
      </c>
      <c r="N381" s="79" t="s">
        <v>219</v>
      </c>
      <c r="O381" s="79"/>
      <c r="P381" s="79"/>
      <c r="Q381" s="280">
        <v>45641</v>
      </c>
      <c r="R381" s="280"/>
      <c r="S381" s="67"/>
      <c r="T381" s="67"/>
      <c r="U381" s="98"/>
      <c r="V381" s="98"/>
      <c r="W381" s="68" t="s">
        <v>1530</v>
      </c>
      <c r="X381" s="64"/>
    </row>
    <row r="382" spans="1:24" s="69" customFormat="1" ht="18.95">
      <c r="A382" s="68" t="s">
        <v>1531</v>
      </c>
      <c r="B382" s="64" t="s">
        <v>199</v>
      </c>
      <c r="C382" s="65">
        <v>4</v>
      </c>
      <c r="D382" s="65"/>
      <c r="E382" s="65"/>
      <c r="F382" s="65"/>
      <c r="G382" s="64" t="s">
        <v>1402</v>
      </c>
      <c r="H382" s="64" t="s">
        <v>1532</v>
      </c>
      <c r="I382" s="64"/>
      <c r="J382" s="64" t="s">
        <v>264</v>
      </c>
      <c r="K382" s="64" t="s">
        <v>311</v>
      </c>
      <c r="L382" s="64" t="s">
        <v>111</v>
      </c>
      <c r="M382" s="64"/>
      <c r="N382" s="64"/>
      <c r="O382" s="64"/>
      <c r="P382" s="64"/>
      <c r="Q382" s="280"/>
      <c r="R382" s="280"/>
      <c r="S382" s="67"/>
      <c r="T382" s="67"/>
      <c r="U382" s="98"/>
      <c r="V382" s="98"/>
      <c r="W382" s="68"/>
      <c r="X382" s="64"/>
    </row>
    <row r="383" spans="1:24" s="69" customFormat="1" ht="95.1">
      <c r="A383" s="68" t="s">
        <v>1533</v>
      </c>
      <c r="B383" s="64" t="s">
        <v>144</v>
      </c>
      <c r="C383" s="65">
        <v>3</v>
      </c>
      <c r="D383" s="65"/>
      <c r="E383" s="65"/>
      <c r="F383" s="65"/>
      <c r="G383" s="64"/>
      <c r="H383" s="71" t="s">
        <v>1534</v>
      </c>
      <c r="I383" s="71"/>
      <c r="J383" s="64" t="s">
        <v>32</v>
      </c>
      <c r="K383" s="64" t="s">
        <v>33</v>
      </c>
      <c r="L383" s="64" t="s">
        <v>1017</v>
      </c>
      <c r="M383" s="64"/>
      <c r="N383" s="64"/>
      <c r="O383" s="72"/>
      <c r="P383" s="72"/>
      <c r="Q383" s="280">
        <v>45968</v>
      </c>
      <c r="R383" s="280"/>
      <c r="S383" s="75"/>
      <c r="T383" s="75"/>
      <c r="U383" s="98"/>
      <c r="V383" s="98"/>
      <c r="W383" s="68" t="s">
        <v>1535</v>
      </c>
      <c r="X383" s="64"/>
    </row>
    <row r="384" spans="1:24" s="69" customFormat="1" ht="18.95">
      <c r="A384" s="68" t="s">
        <v>1536</v>
      </c>
      <c r="B384" s="64" t="s">
        <v>144</v>
      </c>
      <c r="C384" s="65">
        <v>3</v>
      </c>
      <c r="D384" s="65"/>
      <c r="E384" s="65"/>
      <c r="F384" s="65"/>
      <c r="G384" s="64" t="s">
        <v>1429</v>
      </c>
      <c r="H384" s="64" t="s">
        <v>505</v>
      </c>
      <c r="I384" s="97">
        <v>14742</v>
      </c>
      <c r="J384" s="64" t="s">
        <v>32</v>
      </c>
      <c r="K384" s="64" t="s">
        <v>33</v>
      </c>
      <c r="L384" s="64" t="s">
        <v>46</v>
      </c>
      <c r="M384" s="64" t="s">
        <v>134</v>
      </c>
      <c r="N384" s="64" t="s">
        <v>64</v>
      </c>
      <c r="O384" s="64"/>
      <c r="P384" s="64"/>
      <c r="Q384" s="280">
        <v>45348</v>
      </c>
      <c r="R384" s="280">
        <f t="shared" ref="R384:R390" si="5">Q384+10</f>
        <v>45358</v>
      </c>
      <c r="S384" s="67"/>
      <c r="T384" s="67"/>
      <c r="U384" s="98"/>
      <c r="V384" s="98"/>
      <c r="W384" s="68"/>
      <c r="X384" s="64"/>
    </row>
    <row r="385" spans="1:24" s="69" customFormat="1" ht="18.95">
      <c r="A385" s="68" t="s">
        <v>1537</v>
      </c>
      <c r="B385" s="64" t="s">
        <v>144</v>
      </c>
      <c r="C385" s="65">
        <v>3</v>
      </c>
      <c r="D385" s="65"/>
      <c r="E385" s="65"/>
      <c r="F385" s="65"/>
      <c r="G385" s="64" t="s">
        <v>323</v>
      </c>
      <c r="H385" s="64" t="s">
        <v>745</v>
      </c>
      <c r="I385" s="64"/>
      <c r="J385" s="64" t="s">
        <v>32</v>
      </c>
      <c r="K385" s="64" t="s">
        <v>33</v>
      </c>
      <c r="L385" s="64" t="s">
        <v>34</v>
      </c>
      <c r="M385" s="64" t="s">
        <v>134</v>
      </c>
      <c r="N385" s="64" t="s">
        <v>64</v>
      </c>
      <c r="O385" s="64"/>
      <c r="P385" s="64"/>
      <c r="Q385" s="280">
        <v>45350</v>
      </c>
      <c r="R385" s="280">
        <f t="shared" si="5"/>
        <v>45360</v>
      </c>
      <c r="S385" s="67"/>
      <c r="T385" s="67"/>
      <c r="U385" s="98"/>
      <c r="V385" s="98"/>
      <c r="W385" s="68" t="s">
        <v>1538</v>
      </c>
      <c r="X385" s="64"/>
    </row>
    <row r="386" spans="1:24" s="69" customFormat="1" ht="18.95">
      <c r="A386" s="68" t="s">
        <v>1539</v>
      </c>
      <c r="B386" s="64" t="s">
        <v>144</v>
      </c>
      <c r="C386" s="65">
        <v>3</v>
      </c>
      <c r="D386" s="65"/>
      <c r="E386" s="65"/>
      <c r="F386" s="65"/>
      <c r="G386" s="64" t="s">
        <v>1540</v>
      </c>
      <c r="H386" s="64" t="s">
        <v>1541</v>
      </c>
      <c r="I386" s="64"/>
      <c r="J386" s="64" t="s">
        <v>32</v>
      </c>
      <c r="K386" s="64" t="s">
        <v>33</v>
      </c>
      <c r="L386" s="64" t="s">
        <v>34</v>
      </c>
      <c r="M386" s="64" t="s">
        <v>134</v>
      </c>
      <c r="N386" s="64" t="s">
        <v>64</v>
      </c>
      <c r="O386" s="64"/>
      <c r="P386" s="64"/>
      <c r="Q386" s="280">
        <v>45350</v>
      </c>
      <c r="R386" s="280">
        <f t="shared" si="5"/>
        <v>45360</v>
      </c>
      <c r="S386" s="67"/>
      <c r="T386" s="67"/>
      <c r="U386" s="98"/>
      <c r="V386" s="98"/>
      <c r="W386" s="68"/>
      <c r="X386" s="64"/>
    </row>
    <row r="387" spans="1:24" s="69" customFormat="1" ht="18.95">
      <c r="A387" s="68" t="s">
        <v>1542</v>
      </c>
      <c r="B387" s="64" t="s">
        <v>144</v>
      </c>
      <c r="C387" s="65">
        <v>3</v>
      </c>
      <c r="D387" s="65"/>
      <c r="E387" s="65"/>
      <c r="F387" s="65"/>
      <c r="G387" s="64" t="s">
        <v>1543</v>
      </c>
      <c r="H387" s="64" t="s">
        <v>1544</v>
      </c>
      <c r="I387" s="64"/>
      <c r="J387" s="64" t="s">
        <v>32</v>
      </c>
      <c r="K387" s="64" t="s">
        <v>33</v>
      </c>
      <c r="L387" s="64" t="s">
        <v>1545</v>
      </c>
      <c r="M387" s="64" t="s">
        <v>134</v>
      </c>
      <c r="N387" s="64" t="s">
        <v>36</v>
      </c>
      <c r="O387" s="64"/>
      <c r="P387" s="64"/>
      <c r="Q387" s="280">
        <v>45364</v>
      </c>
      <c r="R387" s="280">
        <f t="shared" si="5"/>
        <v>45374</v>
      </c>
      <c r="S387" s="67"/>
      <c r="T387" s="67"/>
      <c r="U387" s="98"/>
      <c r="V387" s="98"/>
      <c r="W387" s="68" t="s">
        <v>1546</v>
      </c>
      <c r="X387" s="64"/>
    </row>
    <row r="388" spans="1:24" s="69" customFormat="1" ht="18.95">
      <c r="A388" s="68" t="s">
        <v>1547</v>
      </c>
      <c r="B388" s="64" t="s">
        <v>144</v>
      </c>
      <c r="C388" s="65">
        <v>3</v>
      </c>
      <c r="D388" s="65"/>
      <c r="E388" s="65"/>
      <c r="F388" s="65"/>
      <c r="G388" s="64" t="s">
        <v>1548</v>
      </c>
      <c r="H388" s="64" t="s">
        <v>1549</v>
      </c>
      <c r="I388" s="64"/>
      <c r="J388" s="64" t="s">
        <v>32</v>
      </c>
      <c r="K388" s="64" t="s">
        <v>1550</v>
      </c>
      <c r="L388" s="64" t="s">
        <v>46</v>
      </c>
      <c r="M388" s="64" t="s">
        <v>134</v>
      </c>
      <c r="N388" s="64" t="s">
        <v>64</v>
      </c>
      <c r="O388" s="64"/>
      <c r="P388" s="64"/>
      <c r="Q388" s="280">
        <v>45364</v>
      </c>
      <c r="R388" s="280">
        <f t="shared" si="5"/>
        <v>45374</v>
      </c>
      <c r="S388" s="67"/>
      <c r="T388" s="67"/>
      <c r="U388" s="98"/>
      <c r="V388" s="98"/>
      <c r="W388" s="68" t="s">
        <v>1551</v>
      </c>
      <c r="X388" s="64"/>
    </row>
    <row r="389" spans="1:24" s="69" customFormat="1" ht="18.95">
      <c r="A389" s="68" t="s">
        <v>1552</v>
      </c>
      <c r="B389" s="64" t="s">
        <v>144</v>
      </c>
      <c r="C389" s="65">
        <v>3</v>
      </c>
      <c r="D389" s="65"/>
      <c r="E389" s="65"/>
      <c r="F389" s="65"/>
      <c r="G389" s="64" t="s">
        <v>1553</v>
      </c>
      <c r="H389" s="64" t="s">
        <v>760</v>
      </c>
      <c r="I389" s="64"/>
      <c r="J389" s="64" t="s">
        <v>32</v>
      </c>
      <c r="K389" s="64" t="s">
        <v>33</v>
      </c>
      <c r="L389" s="64" t="s">
        <v>34</v>
      </c>
      <c r="M389" s="64" t="s">
        <v>723</v>
      </c>
      <c r="N389" s="64" t="s">
        <v>64</v>
      </c>
      <c r="O389" s="64"/>
      <c r="P389" s="64"/>
      <c r="Q389" s="280">
        <v>45365</v>
      </c>
      <c r="R389" s="280">
        <f t="shared" si="5"/>
        <v>45375</v>
      </c>
      <c r="S389" s="67"/>
      <c r="T389" s="67"/>
      <c r="U389" s="98"/>
      <c r="V389" s="98"/>
      <c r="W389" s="68" t="s">
        <v>1554</v>
      </c>
      <c r="X389" s="64"/>
    </row>
    <row r="390" spans="1:24" ht="23.1" customHeight="1">
      <c r="A390" s="68" t="s">
        <v>1555</v>
      </c>
      <c r="B390" s="64" t="s">
        <v>144</v>
      </c>
      <c r="C390" s="65">
        <v>3</v>
      </c>
      <c r="D390" s="65"/>
      <c r="E390" s="65"/>
      <c r="F390" s="65"/>
      <c r="G390" s="64" t="s">
        <v>1281</v>
      </c>
      <c r="H390" s="64" t="s">
        <v>1556</v>
      </c>
      <c r="I390" s="64"/>
      <c r="J390" s="64" t="s">
        <v>32</v>
      </c>
      <c r="K390" s="64" t="s">
        <v>33</v>
      </c>
      <c r="L390" s="64" t="s">
        <v>588</v>
      </c>
      <c r="M390" s="64" t="s">
        <v>840</v>
      </c>
      <c r="N390" s="64" t="s">
        <v>64</v>
      </c>
      <c r="O390" s="64"/>
      <c r="P390" s="64"/>
      <c r="Q390" s="280">
        <v>45383</v>
      </c>
      <c r="R390" s="280">
        <f t="shared" si="5"/>
        <v>45393</v>
      </c>
      <c r="S390" s="67"/>
      <c r="T390" s="67"/>
      <c r="U390" s="98"/>
      <c r="V390" s="98"/>
      <c r="W390" s="68"/>
      <c r="X390" s="64"/>
    </row>
    <row r="391" spans="1:24" ht="23.1" customHeight="1">
      <c r="A391" s="68" t="s">
        <v>1557</v>
      </c>
      <c r="B391" s="64" t="s">
        <v>144</v>
      </c>
      <c r="C391" s="65">
        <v>3</v>
      </c>
      <c r="D391" s="65"/>
      <c r="E391" s="65"/>
      <c r="F391" s="65"/>
      <c r="G391" s="64" t="s">
        <v>916</v>
      </c>
      <c r="H391" s="64" t="s">
        <v>1558</v>
      </c>
      <c r="I391" s="64"/>
      <c r="J391" s="64" t="s">
        <v>32</v>
      </c>
      <c r="K391" s="64" t="s">
        <v>224</v>
      </c>
      <c r="L391" s="64" t="s">
        <v>588</v>
      </c>
      <c r="M391" s="64" t="s">
        <v>275</v>
      </c>
      <c r="N391" s="64" t="s">
        <v>64</v>
      </c>
      <c r="O391" s="64"/>
      <c r="P391" s="64"/>
      <c r="Q391" s="280">
        <v>45391</v>
      </c>
      <c r="R391" s="280">
        <f>Q391+7</f>
        <v>45398</v>
      </c>
      <c r="S391" s="67"/>
      <c r="T391" s="67"/>
      <c r="U391" s="98"/>
      <c r="V391" s="98"/>
      <c r="W391" s="68"/>
      <c r="X391" s="79"/>
    </row>
    <row r="392" spans="1:24" ht="42.95" customHeight="1">
      <c r="A392" s="68" t="s">
        <v>1559</v>
      </c>
      <c r="B392" s="64" t="s">
        <v>144</v>
      </c>
      <c r="C392" s="65">
        <v>3</v>
      </c>
      <c r="D392" s="65"/>
      <c r="E392" s="65"/>
      <c r="F392" s="65"/>
      <c r="G392" s="64" t="s">
        <v>656</v>
      </c>
      <c r="H392" s="64" t="s">
        <v>1341</v>
      </c>
      <c r="I392" s="64"/>
      <c r="J392" s="64" t="s">
        <v>32</v>
      </c>
      <c r="K392" s="64" t="s">
        <v>33</v>
      </c>
      <c r="L392" s="64" t="s">
        <v>34</v>
      </c>
      <c r="M392" s="64" t="s">
        <v>1560</v>
      </c>
      <c r="N392" s="64" t="s">
        <v>64</v>
      </c>
      <c r="O392" s="64"/>
      <c r="P392" s="64"/>
      <c r="Q392" s="280">
        <v>45397</v>
      </c>
      <c r="R392" s="280">
        <f>Q392+10</f>
        <v>45407</v>
      </c>
      <c r="S392" s="67"/>
      <c r="T392" s="67"/>
      <c r="U392" s="98"/>
      <c r="V392" s="98"/>
      <c r="W392" s="68" t="s">
        <v>1561</v>
      </c>
      <c r="X392" s="64"/>
    </row>
    <row r="393" spans="1:24" ht="56.1" customHeight="1">
      <c r="A393" s="68" t="s">
        <v>1562</v>
      </c>
      <c r="B393" s="64" t="s">
        <v>144</v>
      </c>
      <c r="C393" s="65">
        <v>3</v>
      </c>
      <c r="D393" s="65"/>
      <c r="E393" s="65"/>
      <c r="F393" s="65"/>
      <c r="G393" s="64" t="s">
        <v>454</v>
      </c>
      <c r="H393" s="64" t="s">
        <v>1563</v>
      </c>
      <c r="I393" s="64"/>
      <c r="J393" s="64" t="s">
        <v>32</v>
      </c>
      <c r="K393" s="64" t="s">
        <v>33</v>
      </c>
      <c r="L393" s="64" t="s">
        <v>34</v>
      </c>
      <c r="M393" s="64" t="s">
        <v>1564</v>
      </c>
      <c r="N393" s="64" t="s">
        <v>64</v>
      </c>
      <c r="O393" s="64"/>
      <c r="P393" s="64"/>
      <c r="Q393" s="280">
        <v>45411</v>
      </c>
      <c r="R393" s="280">
        <v>45418</v>
      </c>
      <c r="S393" s="80"/>
      <c r="T393" s="80"/>
      <c r="U393" s="288"/>
      <c r="V393" s="288"/>
      <c r="W393" s="68"/>
      <c r="X393" s="64"/>
    </row>
    <row r="394" spans="1:24" ht="60" customHeight="1">
      <c r="A394" s="83" t="s">
        <v>1565</v>
      </c>
      <c r="B394" s="64" t="s">
        <v>144</v>
      </c>
      <c r="C394" s="65">
        <v>3</v>
      </c>
      <c r="D394" s="65"/>
      <c r="E394" s="65"/>
      <c r="F394" s="65"/>
      <c r="G394" s="79" t="s">
        <v>1566</v>
      </c>
      <c r="H394" s="79" t="s">
        <v>1567</v>
      </c>
      <c r="I394" s="79"/>
      <c r="J394" s="79" t="s">
        <v>1568</v>
      </c>
      <c r="K394" s="79" t="s">
        <v>1246</v>
      </c>
      <c r="L394" s="79" t="s">
        <v>1569</v>
      </c>
      <c r="M394" s="79" t="s">
        <v>1570</v>
      </c>
      <c r="N394" s="79" t="s">
        <v>64</v>
      </c>
      <c r="O394" s="79"/>
      <c r="P394" s="79"/>
      <c r="Q394" s="280">
        <v>45413</v>
      </c>
      <c r="R394" s="280">
        <f>Q394+10</f>
        <v>45423</v>
      </c>
      <c r="S394" s="82"/>
      <c r="T394" s="82"/>
      <c r="U394" s="285"/>
      <c r="V394" s="285"/>
      <c r="W394" s="83" t="s">
        <v>1571</v>
      </c>
      <c r="X394" s="79"/>
    </row>
    <row r="395" spans="1:24" ht="24" customHeight="1">
      <c r="A395" s="83" t="s">
        <v>1572</v>
      </c>
      <c r="B395" s="64" t="s">
        <v>144</v>
      </c>
      <c r="C395" s="65">
        <v>3</v>
      </c>
      <c r="D395" s="65"/>
      <c r="E395" s="65"/>
      <c r="F395" s="65"/>
      <c r="G395" s="79" t="s">
        <v>656</v>
      </c>
      <c r="H395" s="79" t="s">
        <v>1573</v>
      </c>
      <c r="I395" s="79"/>
      <c r="J395" s="79" t="s">
        <v>32</v>
      </c>
      <c r="K395" s="79" t="s">
        <v>33</v>
      </c>
      <c r="L395" s="79" t="s">
        <v>1574</v>
      </c>
      <c r="M395" s="79" t="s">
        <v>1575</v>
      </c>
      <c r="N395" s="79"/>
      <c r="O395" s="79"/>
      <c r="P395" s="79"/>
      <c r="Q395" s="280">
        <v>45427</v>
      </c>
      <c r="R395" s="280">
        <f>Q395+7</f>
        <v>45434</v>
      </c>
      <c r="S395" s="82"/>
      <c r="T395" s="82"/>
      <c r="U395" s="285"/>
      <c r="V395" s="285"/>
      <c r="W395" s="83"/>
      <c r="X395" s="79"/>
    </row>
    <row r="396" spans="1:24" ht="147.94999999999999" customHeight="1">
      <c r="A396" s="83" t="s">
        <v>1576</v>
      </c>
      <c r="B396" s="64" t="s">
        <v>144</v>
      </c>
      <c r="C396" s="65">
        <v>3</v>
      </c>
      <c r="D396" s="65"/>
      <c r="E396" s="65"/>
      <c r="F396" s="65"/>
      <c r="G396" s="79" t="s">
        <v>1577</v>
      </c>
      <c r="H396" s="79" t="s">
        <v>1578</v>
      </c>
      <c r="I396" s="79"/>
      <c r="J396" s="79" t="s">
        <v>32</v>
      </c>
      <c r="K396" s="79" t="s">
        <v>33</v>
      </c>
      <c r="L396" s="79" t="s">
        <v>1579</v>
      </c>
      <c r="M396" s="79" t="s">
        <v>791</v>
      </c>
      <c r="N396" s="79" t="s">
        <v>64</v>
      </c>
      <c r="O396" s="79"/>
      <c r="P396" s="79"/>
      <c r="Q396" s="280">
        <v>45427</v>
      </c>
      <c r="R396" s="280">
        <f>Q396+7</f>
        <v>45434</v>
      </c>
      <c r="S396" s="82"/>
      <c r="T396" s="82"/>
      <c r="U396" s="285"/>
      <c r="V396" s="285"/>
      <c r="W396" s="83" t="s">
        <v>792</v>
      </c>
      <c r="X396" s="79"/>
    </row>
    <row r="397" spans="1:24" ht="24" customHeight="1">
      <c r="A397" s="83" t="s">
        <v>1580</v>
      </c>
      <c r="B397" s="64" t="s">
        <v>144</v>
      </c>
      <c r="C397" s="65">
        <v>3</v>
      </c>
      <c r="D397" s="65"/>
      <c r="E397" s="65"/>
      <c r="F397" s="65"/>
      <c r="G397" s="79" t="s">
        <v>656</v>
      </c>
      <c r="H397" s="79" t="s">
        <v>1581</v>
      </c>
      <c r="I397" s="79"/>
      <c r="J397" s="79" t="s">
        <v>32</v>
      </c>
      <c r="K397" s="79" t="s">
        <v>33</v>
      </c>
      <c r="L397" s="79" t="s">
        <v>1579</v>
      </c>
      <c r="M397" s="79" t="s">
        <v>791</v>
      </c>
      <c r="N397" s="79" t="s">
        <v>64</v>
      </c>
      <c r="O397" s="79"/>
      <c r="P397" s="79"/>
      <c r="Q397" s="280">
        <v>45427</v>
      </c>
      <c r="R397" s="280">
        <f>Q397+7</f>
        <v>45434</v>
      </c>
      <c r="S397" s="82"/>
      <c r="T397" s="82"/>
      <c r="U397" s="285"/>
      <c r="V397" s="285"/>
      <c r="W397" s="83" t="s">
        <v>792</v>
      </c>
      <c r="X397" s="79"/>
    </row>
    <row r="398" spans="1:24" ht="18.95" customHeight="1">
      <c r="A398" s="83" t="s">
        <v>1582</v>
      </c>
      <c r="B398" s="64" t="s">
        <v>144</v>
      </c>
      <c r="C398" s="65">
        <v>3</v>
      </c>
      <c r="D398" s="65"/>
      <c r="E398" s="65" t="s">
        <v>518</v>
      </c>
      <c r="F398" s="65"/>
      <c r="G398" s="79" t="s">
        <v>510</v>
      </c>
      <c r="H398" s="79" t="s">
        <v>521</v>
      </c>
      <c r="I398" s="79"/>
      <c r="J398" s="79" t="s">
        <v>32</v>
      </c>
      <c r="K398" s="79" t="s">
        <v>33</v>
      </c>
      <c r="L398" s="79" t="s">
        <v>1583</v>
      </c>
      <c r="M398" s="79" t="s">
        <v>791</v>
      </c>
      <c r="N398" s="79" t="s">
        <v>64</v>
      </c>
      <c r="O398" s="79"/>
      <c r="P398" s="79"/>
      <c r="Q398" s="280">
        <v>45432</v>
      </c>
      <c r="R398" s="280">
        <f>Q398+7</f>
        <v>45439</v>
      </c>
      <c r="S398" s="82"/>
      <c r="T398" s="82"/>
      <c r="U398" s="285"/>
      <c r="V398" s="285"/>
      <c r="W398" s="83" t="s">
        <v>1584</v>
      </c>
      <c r="X398" s="79"/>
    </row>
    <row r="399" spans="1:24" ht="23.1" customHeight="1">
      <c r="A399" s="83" t="s">
        <v>1585</v>
      </c>
      <c r="B399" s="64" t="s">
        <v>199</v>
      </c>
      <c r="C399" s="65">
        <v>3</v>
      </c>
      <c r="D399" s="65"/>
      <c r="E399" s="65"/>
      <c r="F399" s="65"/>
      <c r="G399" s="79" t="s">
        <v>1586</v>
      </c>
      <c r="H399" s="79" t="s">
        <v>1587</v>
      </c>
      <c r="I399" s="79"/>
      <c r="J399" s="79" t="s">
        <v>1568</v>
      </c>
      <c r="K399" s="79" t="s">
        <v>394</v>
      </c>
      <c r="L399" s="79" t="s">
        <v>46</v>
      </c>
      <c r="M399" s="79" t="s">
        <v>1588</v>
      </c>
      <c r="N399" s="79" t="s">
        <v>64</v>
      </c>
      <c r="O399" s="79"/>
      <c r="P399" s="79"/>
      <c r="Q399" s="280">
        <v>45460</v>
      </c>
      <c r="R399" s="280">
        <f>Q399+14</f>
        <v>45474</v>
      </c>
      <c r="S399" s="82"/>
      <c r="T399" s="82"/>
      <c r="U399" s="285"/>
      <c r="V399" s="285"/>
      <c r="W399" s="83" t="s">
        <v>1589</v>
      </c>
      <c r="X399" s="79"/>
    </row>
    <row r="400" spans="1:24" ht="23.1" customHeight="1">
      <c r="A400" s="68" t="s">
        <v>1590</v>
      </c>
      <c r="B400" s="64" t="s">
        <v>144</v>
      </c>
      <c r="C400" s="65">
        <v>3</v>
      </c>
      <c r="D400" s="65"/>
      <c r="E400" s="65"/>
      <c r="F400" s="65"/>
      <c r="G400" s="64" t="s">
        <v>488</v>
      </c>
      <c r="H400" s="64" t="s">
        <v>1591</v>
      </c>
      <c r="I400" s="64"/>
      <c r="J400" s="64" t="s">
        <v>32</v>
      </c>
      <c r="K400" s="64" t="s">
        <v>33</v>
      </c>
      <c r="L400" s="64" t="s">
        <v>1592</v>
      </c>
      <c r="M400" s="64" t="s">
        <v>1593</v>
      </c>
      <c r="N400" s="64" t="s">
        <v>64</v>
      </c>
      <c r="O400" s="64"/>
      <c r="P400" s="64"/>
      <c r="Q400" s="280">
        <v>45474</v>
      </c>
      <c r="R400" s="280">
        <f>Q400+10</f>
        <v>45484</v>
      </c>
      <c r="S400" s="67"/>
      <c r="T400" s="67"/>
      <c r="U400" s="98"/>
      <c r="V400" s="98"/>
      <c r="W400" s="68" t="s">
        <v>1594</v>
      </c>
      <c r="X400" s="64"/>
    </row>
    <row r="401" spans="1:24" ht="183" customHeight="1">
      <c r="A401" s="68" t="s">
        <v>1595</v>
      </c>
      <c r="B401" s="64" t="s">
        <v>144</v>
      </c>
      <c r="C401" s="65">
        <v>3</v>
      </c>
      <c r="D401" s="65"/>
      <c r="E401" s="65"/>
      <c r="F401" s="65"/>
      <c r="G401" s="64" t="s">
        <v>488</v>
      </c>
      <c r="H401" s="64" t="s">
        <v>1596</v>
      </c>
      <c r="I401" s="64"/>
      <c r="J401" s="64" t="s">
        <v>32</v>
      </c>
      <c r="K401" s="64" t="s">
        <v>33</v>
      </c>
      <c r="L401" s="64" t="s">
        <v>1597</v>
      </c>
      <c r="M401" s="64" t="s">
        <v>134</v>
      </c>
      <c r="N401" s="64" t="s">
        <v>64</v>
      </c>
      <c r="O401" s="64"/>
      <c r="P401" s="64"/>
      <c r="Q401" s="280">
        <v>45483</v>
      </c>
      <c r="R401" s="280">
        <f>Q401+7</f>
        <v>45490</v>
      </c>
      <c r="S401" s="67"/>
      <c r="T401" s="67"/>
      <c r="U401" s="98"/>
      <c r="V401" s="98"/>
      <c r="W401" s="68" t="s">
        <v>1598</v>
      </c>
      <c r="X401" s="64"/>
    </row>
    <row r="402" spans="1:24" ht="18.95" customHeight="1">
      <c r="A402" s="68" t="s">
        <v>1599</v>
      </c>
      <c r="B402" s="64" t="s">
        <v>144</v>
      </c>
      <c r="C402" s="65">
        <v>3</v>
      </c>
      <c r="D402" s="65"/>
      <c r="E402" s="65"/>
      <c r="F402" s="65"/>
      <c r="G402" s="64" t="s">
        <v>183</v>
      </c>
      <c r="H402" s="64" t="s">
        <v>1600</v>
      </c>
      <c r="I402" s="64"/>
      <c r="J402" s="64" t="s">
        <v>32</v>
      </c>
      <c r="K402" s="64" t="s">
        <v>1550</v>
      </c>
      <c r="L402" s="64" t="s">
        <v>34</v>
      </c>
      <c r="M402" s="64" t="s">
        <v>275</v>
      </c>
      <c r="N402" s="64" t="s">
        <v>64</v>
      </c>
      <c r="O402" s="64"/>
      <c r="P402" s="64"/>
      <c r="Q402" s="280">
        <v>45483</v>
      </c>
      <c r="R402" s="280">
        <f>Q402+7</f>
        <v>45490</v>
      </c>
      <c r="S402" s="67"/>
      <c r="T402" s="67"/>
      <c r="U402" s="98"/>
      <c r="V402" s="98"/>
      <c r="W402" s="68" t="s">
        <v>1601</v>
      </c>
      <c r="X402" s="64"/>
    </row>
    <row r="403" spans="1:24" ht="18.95" customHeight="1">
      <c r="A403" s="68" t="s">
        <v>1602</v>
      </c>
      <c r="B403" s="64" t="s">
        <v>144</v>
      </c>
      <c r="C403" s="65">
        <v>3</v>
      </c>
      <c r="D403" s="65"/>
      <c r="E403" s="65"/>
      <c r="F403" s="65"/>
      <c r="G403" s="64" t="s">
        <v>1261</v>
      </c>
      <c r="H403" s="64" t="s">
        <v>1603</v>
      </c>
      <c r="I403" s="64"/>
      <c r="J403" s="64" t="s">
        <v>32</v>
      </c>
      <c r="K403" s="64" t="s">
        <v>33</v>
      </c>
      <c r="L403" s="64" t="s">
        <v>34</v>
      </c>
      <c r="M403" s="64" t="s">
        <v>134</v>
      </c>
      <c r="N403" s="64" t="s">
        <v>64</v>
      </c>
      <c r="O403" s="64"/>
      <c r="P403" s="64"/>
      <c r="Q403" s="280">
        <v>45499</v>
      </c>
      <c r="R403" s="280">
        <f>Q403+7</f>
        <v>45506</v>
      </c>
      <c r="S403" s="67"/>
      <c r="T403" s="67"/>
      <c r="U403" s="98"/>
      <c r="V403" s="98"/>
      <c r="W403" s="68" t="s">
        <v>1604</v>
      </c>
      <c r="X403" s="64"/>
    </row>
    <row r="404" spans="1:24" ht="18" customHeight="1">
      <c r="A404" s="83" t="s">
        <v>1605</v>
      </c>
      <c r="B404" s="64" t="s">
        <v>144</v>
      </c>
      <c r="C404" s="65">
        <v>3</v>
      </c>
      <c r="D404" s="65"/>
      <c r="E404" s="65"/>
      <c r="F404" s="65"/>
      <c r="G404" s="79" t="s">
        <v>1606</v>
      </c>
      <c r="H404" s="79" t="s">
        <v>1607</v>
      </c>
      <c r="I404" s="79"/>
      <c r="J404" s="79" t="s">
        <v>32</v>
      </c>
      <c r="K404" s="79" t="s">
        <v>33</v>
      </c>
      <c r="L404" s="79" t="s">
        <v>71</v>
      </c>
      <c r="M404" s="79" t="s">
        <v>1279</v>
      </c>
      <c r="N404" s="79" t="s">
        <v>64</v>
      </c>
      <c r="O404" s="79"/>
      <c r="P404" s="79"/>
      <c r="Q404" s="280">
        <v>45518</v>
      </c>
      <c r="R404" s="280">
        <f>Q404+7</f>
        <v>45525</v>
      </c>
      <c r="S404" s="82"/>
      <c r="T404" s="82"/>
      <c r="U404" s="285"/>
      <c r="V404" s="285"/>
      <c r="W404" s="83" t="s">
        <v>1608</v>
      </c>
      <c r="X404" s="79"/>
    </row>
    <row r="405" spans="1:24" ht="18" customHeight="1">
      <c r="A405" s="83" t="s">
        <v>1609</v>
      </c>
      <c r="B405" s="64" t="s">
        <v>144</v>
      </c>
      <c r="C405" s="65">
        <v>3</v>
      </c>
      <c r="D405" s="65"/>
      <c r="E405" s="65"/>
      <c r="F405" s="65"/>
      <c r="G405" s="79" t="s">
        <v>1610</v>
      </c>
      <c r="H405" s="79" t="s">
        <v>1611</v>
      </c>
      <c r="I405" s="79"/>
      <c r="J405" s="79" t="s">
        <v>32</v>
      </c>
      <c r="K405" s="79" t="s">
        <v>33</v>
      </c>
      <c r="L405" s="79" t="s">
        <v>111</v>
      </c>
      <c r="M405" s="79" t="s">
        <v>1612</v>
      </c>
      <c r="N405" s="79" t="s">
        <v>64</v>
      </c>
      <c r="O405" s="79"/>
      <c r="P405" s="79"/>
      <c r="Q405" s="280">
        <v>45534</v>
      </c>
      <c r="R405" s="280">
        <f>Q405+10</f>
        <v>45544</v>
      </c>
      <c r="S405" s="82"/>
      <c r="T405" s="82"/>
      <c r="U405" s="285"/>
      <c r="V405" s="285"/>
      <c r="W405" s="83" t="s">
        <v>1613</v>
      </c>
      <c r="X405" s="79"/>
    </row>
    <row r="406" spans="1:24" ht="18" customHeight="1">
      <c r="A406" s="68" t="s">
        <v>1614</v>
      </c>
      <c r="B406" s="64" t="s">
        <v>104</v>
      </c>
      <c r="C406" s="65">
        <v>3</v>
      </c>
      <c r="D406" s="65"/>
      <c r="E406" s="65"/>
      <c r="F406" s="65"/>
      <c r="G406" s="64" t="s">
        <v>1615</v>
      </c>
      <c r="H406" s="64" t="s">
        <v>865</v>
      </c>
      <c r="I406" s="64"/>
      <c r="J406" s="64" t="s">
        <v>32</v>
      </c>
      <c r="K406" s="64" t="s">
        <v>33</v>
      </c>
      <c r="L406" s="64" t="s">
        <v>765</v>
      </c>
      <c r="M406" s="64" t="s">
        <v>112</v>
      </c>
      <c r="N406" s="64" t="s">
        <v>64</v>
      </c>
      <c r="O406" s="64"/>
      <c r="P406" s="64"/>
      <c r="Q406" s="280">
        <v>45536</v>
      </c>
      <c r="R406" s="280">
        <f>Q406+10</f>
        <v>45546</v>
      </c>
      <c r="S406" s="67"/>
      <c r="T406" s="67"/>
      <c r="U406" s="98"/>
      <c r="V406" s="98"/>
      <c r="W406" s="68" t="s">
        <v>1616</v>
      </c>
      <c r="X406" s="64"/>
    </row>
    <row r="407" spans="1:24" ht="18.95" customHeight="1">
      <c r="A407" s="83" t="s">
        <v>1617</v>
      </c>
      <c r="B407" s="64" t="s">
        <v>144</v>
      </c>
      <c r="C407" s="65">
        <v>3</v>
      </c>
      <c r="D407" s="65"/>
      <c r="E407" s="65"/>
      <c r="F407" s="65"/>
      <c r="G407" s="79" t="s">
        <v>550</v>
      </c>
      <c r="H407" s="79" t="s">
        <v>1618</v>
      </c>
      <c r="I407" s="79"/>
      <c r="J407" s="79" t="s">
        <v>32</v>
      </c>
      <c r="K407" s="79" t="s">
        <v>1619</v>
      </c>
      <c r="L407" s="79" t="s">
        <v>111</v>
      </c>
      <c r="M407" s="79" t="s">
        <v>1620</v>
      </c>
      <c r="N407" s="79"/>
      <c r="O407" s="79"/>
      <c r="P407" s="79"/>
      <c r="Q407" s="280">
        <v>45399</v>
      </c>
      <c r="R407" s="280">
        <v>45552</v>
      </c>
      <c r="S407" s="82"/>
      <c r="T407" s="82"/>
      <c r="U407" s="285"/>
      <c r="V407" s="285"/>
      <c r="W407" s="83" t="s">
        <v>1621</v>
      </c>
      <c r="X407" s="64"/>
    </row>
    <row r="408" spans="1:24" ht="18.95" customHeight="1">
      <c r="A408" s="68" t="s">
        <v>1622</v>
      </c>
      <c r="B408" s="78" t="s">
        <v>144</v>
      </c>
      <c r="C408" s="65">
        <v>3</v>
      </c>
      <c r="D408" s="65"/>
      <c r="E408" s="65"/>
      <c r="F408" s="65" t="s">
        <v>416</v>
      </c>
      <c r="G408" s="64" t="s">
        <v>1406</v>
      </c>
      <c r="H408" s="64" t="s">
        <v>1623</v>
      </c>
      <c r="I408" s="64"/>
      <c r="J408" s="64" t="s">
        <v>32</v>
      </c>
      <c r="K408" s="64" t="s">
        <v>369</v>
      </c>
      <c r="L408" s="64" t="s">
        <v>1229</v>
      </c>
      <c r="M408" s="64"/>
      <c r="N408" s="64" t="s">
        <v>64</v>
      </c>
      <c r="O408" s="64"/>
      <c r="P408" s="64"/>
      <c r="Q408" s="280">
        <v>45561</v>
      </c>
      <c r="R408" s="280">
        <f>Q408+7</f>
        <v>45568</v>
      </c>
      <c r="S408" s="67"/>
      <c r="T408" s="67"/>
      <c r="U408" s="98"/>
      <c r="V408" s="98"/>
      <c r="W408" s="68" t="s">
        <v>1624</v>
      </c>
      <c r="X408" s="64"/>
    </row>
    <row r="409" spans="1:24" ht="114" customHeight="1">
      <c r="A409" s="83" t="s">
        <v>1625</v>
      </c>
      <c r="B409" s="78" t="s">
        <v>144</v>
      </c>
      <c r="C409" s="65">
        <v>3</v>
      </c>
      <c r="D409" s="65"/>
      <c r="E409" s="65"/>
      <c r="F409" s="65" t="s">
        <v>416</v>
      </c>
      <c r="G409" s="64" t="s">
        <v>488</v>
      </c>
      <c r="H409" s="64" t="s">
        <v>1626</v>
      </c>
      <c r="I409" s="64"/>
      <c r="J409" s="64" t="s">
        <v>32</v>
      </c>
      <c r="K409" s="64" t="s">
        <v>572</v>
      </c>
      <c r="L409" s="64" t="s">
        <v>46</v>
      </c>
      <c r="M409" s="64"/>
      <c r="N409" s="64" t="s">
        <v>64</v>
      </c>
      <c r="O409" s="64"/>
      <c r="P409" s="64"/>
      <c r="Q409" s="280">
        <v>45561</v>
      </c>
      <c r="R409" s="280">
        <f>Q409+10</f>
        <v>45571</v>
      </c>
      <c r="S409" s="67"/>
      <c r="T409" s="67"/>
      <c r="U409" s="98"/>
      <c r="V409" s="98"/>
      <c r="W409" s="68" t="s">
        <v>1627</v>
      </c>
      <c r="X409" s="64"/>
    </row>
    <row r="410" spans="1:24" ht="18.95" customHeight="1">
      <c r="A410" s="68" t="s">
        <v>1557</v>
      </c>
      <c r="B410" s="78" t="s">
        <v>144</v>
      </c>
      <c r="C410" s="65">
        <v>3</v>
      </c>
      <c r="D410" s="65"/>
      <c r="E410" s="65"/>
      <c r="F410" s="65" t="s">
        <v>416</v>
      </c>
      <c r="G410" s="64" t="s">
        <v>1628</v>
      </c>
      <c r="H410" s="64" t="s">
        <v>1558</v>
      </c>
      <c r="I410" s="64"/>
      <c r="J410" s="64" t="s">
        <v>32</v>
      </c>
      <c r="K410" s="64" t="s">
        <v>369</v>
      </c>
      <c r="L410" s="64" t="s">
        <v>46</v>
      </c>
      <c r="M410" s="64"/>
      <c r="N410" s="64"/>
      <c r="O410" s="64"/>
      <c r="P410" s="64"/>
      <c r="Q410" s="280">
        <v>45561</v>
      </c>
      <c r="R410" s="280">
        <f>Q410+10</f>
        <v>45571</v>
      </c>
      <c r="S410" s="67"/>
      <c r="T410" s="67"/>
      <c r="U410" s="98"/>
      <c r="V410" s="98"/>
      <c r="W410" s="68" t="s">
        <v>1629</v>
      </c>
      <c r="X410" s="64"/>
    </row>
    <row r="411" spans="1:24" ht="57" customHeight="1">
      <c r="A411" s="68" t="s">
        <v>1630</v>
      </c>
      <c r="B411" s="64" t="s">
        <v>144</v>
      </c>
      <c r="C411" s="65">
        <v>3</v>
      </c>
      <c r="D411" s="65"/>
      <c r="E411" s="65"/>
      <c r="F411" s="65"/>
      <c r="G411" s="64" t="s">
        <v>488</v>
      </c>
      <c r="H411" s="64" t="s">
        <v>1631</v>
      </c>
      <c r="I411" s="64"/>
      <c r="J411" s="64" t="s">
        <v>32</v>
      </c>
      <c r="K411" s="64" t="s">
        <v>594</v>
      </c>
      <c r="L411" s="64" t="s">
        <v>34</v>
      </c>
      <c r="M411" s="64" t="s">
        <v>275</v>
      </c>
      <c r="N411" s="64" t="s">
        <v>36</v>
      </c>
      <c r="O411" s="64"/>
      <c r="P411" s="64"/>
      <c r="Q411" s="280">
        <v>45483</v>
      </c>
      <c r="R411" s="280">
        <f>Q411+90</f>
        <v>45573</v>
      </c>
      <c r="S411" s="67"/>
      <c r="T411" s="67"/>
      <c r="U411" s="98"/>
      <c r="V411" s="98"/>
      <c r="W411" s="68" t="s">
        <v>1632</v>
      </c>
      <c r="X411" s="64"/>
    </row>
    <row r="412" spans="1:24" ht="18.95" customHeight="1">
      <c r="A412" s="83" t="s">
        <v>1633</v>
      </c>
      <c r="B412" s="74" t="s">
        <v>380</v>
      </c>
      <c r="C412" s="65">
        <v>3</v>
      </c>
      <c r="D412" s="65"/>
      <c r="E412" s="65" t="s">
        <v>1498</v>
      </c>
      <c r="F412" s="65"/>
      <c r="G412" s="79"/>
      <c r="H412" s="79" t="s">
        <v>1499</v>
      </c>
      <c r="I412" s="79"/>
      <c r="J412" s="79" t="s">
        <v>264</v>
      </c>
      <c r="K412" s="79" t="s">
        <v>33</v>
      </c>
      <c r="L412" s="79" t="s">
        <v>46</v>
      </c>
      <c r="M412" s="79"/>
      <c r="N412" s="79" t="s">
        <v>36</v>
      </c>
      <c r="O412" s="79"/>
      <c r="P412" s="79"/>
      <c r="Q412" s="280">
        <v>45518</v>
      </c>
      <c r="R412" s="280">
        <f>Q412+60</f>
        <v>45578</v>
      </c>
      <c r="S412" s="82"/>
      <c r="T412" s="82"/>
      <c r="U412" s="285"/>
      <c r="V412" s="285"/>
      <c r="W412" s="83" t="s">
        <v>1634</v>
      </c>
      <c r="X412" s="79"/>
    </row>
    <row r="413" spans="1:24" ht="18.95" customHeight="1">
      <c r="A413" s="68" t="s">
        <v>1635</v>
      </c>
      <c r="B413" s="64" t="s">
        <v>144</v>
      </c>
      <c r="C413" s="65">
        <v>3</v>
      </c>
      <c r="D413" s="65"/>
      <c r="E413" s="65"/>
      <c r="F413" s="65"/>
      <c r="G413" s="64" t="s">
        <v>829</v>
      </c>
      <c r="H413" s="64" t="s">
        <v>1636</v>
      </c>
      <c r="I413" s="64"/>
      <c r="J413" s="64" t="s">
        <v>32</v>
      </c>
      <c r="K413" s="64" t="s">
        <v>33</v>
      </c>
      <c r="L413" s="64" t="s">
        <v>111</v>
      </c>
      <c r="M413" s="64"/>
      <c r="N413" s="64"/>
      <c r="O413" s="64"/>
      <c r="P413" s="64"/>
      <c r="Q413" s="280">
        <v>45595</v>
      </c>
      <c r="R413" s="280">
        <f>Q413+7</f>
        <v>45602</v>
      </c>
      <c r="S413" s="67"/>
      <c r="T413" s="67"/>
      <c r="U413" s="98"/>
      <c r="V413" s="98"/>
      <c r="W413" s="68" t="s">
        <v>1637</v>
      </c>
      <c r="X413" s="64"/>
    </row>
    <row r="414" spans="1:24" ht="18.95" customHeight="1">
      <c r="A414" s="68" t="s">
        <v>1638</v>
      </c>
      <c r="B414" s="64" t="s">
        <v>144</v>
      </c>
      <c r="C414" s="65">
        <v>3</v>
      </c>
      <c r="D414" s="65" t="s">
        <v>671</v>
      </c>
      <c r="E414" s="65"/>
      <c r="F414" s="65"/>
      <c r="G414" s="64" t="s">
        <v>1639</v>
      </c>
      <c r="H414" s="64" t="s">
        <v>1640</v>
      </c>
      <c r="I414" s="64"/>
      <c r="J414" s="64" t="s">
        <v>32</v>
      </c>
      <c r="K414" s="64" t="s">
        <v>33</v>
      </c>
      <c r="L414" s="64" t="s">
        <v>46</v>
      </c>
      <c r="M414" s="64"/>
      <c r="N414" s="64"/>
      <c r="O414" s="64"/>
      <c r="P414" s="64"/>
      <c r="Q414" s="280">
        <v>45596</v>
      </c>
      <c r="R414" s="280">
        <f>Q414+7</f>
        <v>45603</v>
      </c>
      <c r="S414" s="67"/>
      <c r="T414" s="67"/>
      <c r="U414" s="98"/>
      <c r="V414" s="98"/>
      <c r="W414" s="68" t="s">
        <v>1641</v>
      </c>
      <c r="X414" s="64"/>
    </row>
    <row r="415" spans="1:24" ht="409.5" customHeight="1">
      <c r="A415" s="68" t="s">
        <v>1642</v>
      </c>
      <c r="B415" s="64" t="s">
        <v>144</v>
      </c>
      <c r="C415" s="65">
        <v>3</v>
      </c>
      <c r="D415" s="65" t="s">
        <v>421</v>
      </c>
      <c r="E415" s="65"/>
      <c r="F415" s="65"/>
      <c r="G415" s="64" t="s">
        <v>1643</v>
      </c>
      <c r="H415" s="64" t="s">
        <v>1430</v>
      </c>
      <c r="I415" s="64"/>
      <c r="J415" s="64" t="s">
        <v>32</v>
      </c>
      <c r="K415" s="64" t="s">
        <v>33</v>
      </c>
      <c r="L415" s="64" t="s">
        <v>46</v>
      </c>
      <c r="M415" s="64"/>
      <c r="N415" s="64"/>
      <c r="O415" s="64"/>
      <c r="P415" s="64"/>
      <c r="Q415" s="280">
        <v>45596</v>
      </c>
      <c r="R415" s="280">
        <f>Q415+7</f>
        <v>45603</v>
      </c>
      <c r="S415" s="67"/>
      <c r="T415" s="67"/>
      <c r="U415" s="98"/>
      <c r="V415" s="98"/>
      <c r="W415" s="68" t="s">
        <v>1644</v>
      </c>
      <c r="X415" s="64"/>
    </row>
    <row r="416" spans="1:24" ht="152.1" customHeight="1">
      <c r="A416" s="68" t="s">
        <v>1645</v>
      </c>
      <c r="B416" s="64" t="s">
        <v>144</v>
      </c>
      <c r="C416" s="65">
        <v>3</v>
      </c>
      <c r="D416" s="65"/>
      <c r="E416" s="65"/>
      <c r="F416" s="65"/>
      <c r="G416" s="64" t="s">
        <v>454</v>
      </c>
      <c r="H416" s="64" t="s">
        <v>1646</v>
      </c>
      <c r="I416" s="64"/>
      <c r="J416" s="64" t="s">
        <v>32</v>
      </c>
      <c r="K416" s="64" t="s">
        <v>33</v>
      </c>
      <c r="L416" s="64" t="s">
        <v>1371</v>
      </c>
      <c r="M416" s="64" t="s">
        <v>275</v>
      </c>
      <c r="N416" s="64" t="s">
        <v>64</v>
      </c>
      <c r="O416" s="64"/>
      <c r="P416" s="64"/>
      <c r="Q416" s="280">
        <v>45615</v>
      </c>
      <c r="R416" s="280">
        <f>Q416+7</f>
        <v>45622</v>
      </c>
      <c r="S416" s="67"/>
      <c r="T416" s="67"/>
      <c r="U416" s="98"/>
      <c r="V416" s="98"/>
      <c r="W416" s="68" t="s">
        <v>1647</v>
      </c>
      <c r="X416" s="64"/>
    </row>
    <row r="417" spans="1:24" ht="228" customHeight="1">
      <c r="A417" s="68" t="s">
        <v>1648</v>
      </c>
      <c r="B417" s="64" t="s">
        <v>144</v>
      </c>
      <c r="C417" s="65">
        <v>3</v>
      </c>
      <c r="D417" s="65" t="s">
        <v>502</v>
      </c>
      <c r="E417" s="65"/>
      <c r="F417" s="65"/>
      <c r="G417" s="64"/>
      <c r="H417" s="66" t="s">
        <v>1148</v>
      </c>
      <c r="I417" s="66"/>
      <c r="J417" s="64" t="s">
        <v>32</v>
      </c>
      <c r="K417" s="64" t="s">
        <v>311</v>
      </c>
      <c r="L417" s="64"/>
      <c r="M417" s="64"/>
      <c r="N417" s="64"/>
      <c r="O417" s="64"/>
      <c r="P417" s="64"/>
      <c r="Q417" s="280">
        <v>45617</v>
      </c>
      <c r="R417" s="280">
        <f>Q417+7</f>
        <v>45624</v>
      </c>
      <c r="S417" s="67"/>
      <c r="T417" s="67"/>
      <c r="U417" s="98"/>
      <c r="V417" s="98"/>
      <c r="W417" s="68" t="s">
        <v>1649</v>
      </c>
      <c r="X417" s="64"/>
    </row>
    <row r="418" spans="1:24" ht="51.95" customHeight="1">
      <c r="A418" s="68" t="s">
        <v>1650</v>
      </c>
      <c r="B418" s="78" t="s">
        <v>144</v>
      </c>
      <c r="C418" s="65">
        <v>3</v>
      </c>
      <c r="D418" s="65"/>
      <c r="E418" s="65"/>
      <c r="F418" s="65" t="s">
        <v>416</v>
      </c>
      <c r="G418" s="64" t="s">
        <v>1651</v>
      </c>
      <c r="H418" s="64" t="s">
        <v>1652</v>
      </c>
      <c r="I418" s="64"/>
      <c r="J418" s="64" t="s">
        <v>32</v>
      </c>
      <c r="K418" s="64" t="s">
        <v>1653</v>
      </c>
      <c r="L418" s="64" t="s">
        <v>46</v>
      </c>
      <c r="M418" s="64"/>
      <c r="N418" s="64" t="s">
        <v>64</v>
      </c>
      <c r="O418" s="64"/>
      <c r="P418" s="64"/>
      <c r="Q418" s="280">
        <v>45615</v>
      </c>
      <c r="R418" s="280">
        <f>Q418+14</f>
        <v>45629</v>
      </c>
      <c r="S418" s="67"/>
      <c r="T418" s="67"/>
      <c r="U418" s="98"/>
      <c r="V418" s="98"/>
      <c r="W418" s="68" t="s">
        <v>1654</v>
      </c>
      <c r="X418" s="64"/>
    </row>
    <row r="419" spans="1:24" ht="231.95" customHeight="1">
      <c r="A419" s="68" t="s">
        <v>1655</v>
      </c>
      <c r="B419" s="64" t="s">
        <v>144</v>
      </c>
      <c r="C419" s="65">
        <v>3</v>
      </c>
      <c r="D419" s="65"/>
      <c r="E419" s="65"/>
      <c r="F419" s="65"/>
      <c r="G419" s="64"/>
      <c r="H419" s="66" t="s">
        <v>1656</v>
      </c>
      <c r="I419" s="66"/>
      <c r="J419" s="64" t="s">
        <v>32</v>
      </c>
      <c r="K419" s="64" t="s">
        <v>33</v>
      </c>
      <c r="L419" s="64"/>
      <c r="M419" s="64"/>
      <c r="N419" s="64"/>
      <c r="O419" s="64"/>
      <c r="P419" s="64"/>
      <c r="Q419" s="280">
        <v>45631</v>
      </c>
      <c r="R419" s="280">
        <f>Q419+5</f>
        <v>45636</v>
      </c>
      <c r="S419" s="67"/>
      <c r="T419" s="67"/>
      <c r="U419" s="98"/>
      <c r="V419" s="98"/>
      <c r="W419" s="68" t="s">
        <v>1657</v>
      </c>
      <c r="X419" s="64"/>
    </row>
    <row r="420" spans="1:24" ht="72" customHeight="1">
      <c r="A420" s="68" t="s">
        <v>1658</v>
      </c>
      <c r="B420" s="64" t="s">
        <v>144</v>
      </c>
      <c r="C420" s="65">
        <v>3</v>
      </c>
      <c r="D420" s="65"/>
      <c r="E420" s="65"/>
      <c r="F420" s="65"/>
      <c r="G420" s="64"/>
      <c r="H420" s="71" t="s">
        <v>1659</v>
      </c>
      <c r="I420" s="71"/>
      <c r="J420" s="64" t="s">
        <v>32</v>
      </c>
      <c r="K420" s="64" t="s">
        <v>33</v>
      </c>
      <c r="L420" s="64" t="s">
        <v>175</v>
      </c>
      <c r="M420" s="64"/>
      <c r="N420" s="64"/>
      <c r="O420" s="72"/>
      <c r="P420" s="72"/>
      <c r="Q420" s="280">
        <v>45728</v>
      </c>
      <c r="R420" s="280">
        <f>Q420+7</f>
        <v>45735</v>
      </c>
      <c r="S420" s="67"/>
      <c r="T420" s="67"/>
      <c r="U420" s="98"/>
      <c r="V420" s="98"/>
      <c r="W420" s="68" t="s">
        <v>1660</v>
      </c>
      <c r="X420" s="64"/>
    </row>
    <row r="421" spans="1:24" ht="57" customHeight="1">
      <c r="A421" s="68" t="s">
        <v>1648</v>
      </c>
      <c r="B421" s="64" t="s">
        <v>144</v>
      </c>
      <c r="C421" s="65">
        <v>3</v>
      </c>
      <c r="D421" s="65" t="s">
        <v>502</v>
      </c>
      <c r="E421" s="65"/>
      <c r="F421" s="65" t="s">
        <v>32</v>
      </c>
      <c r="G421" s="64" t="s">
        <v>1661</v>
      </c>
      <c r="H421" s="64" t="s">
        <v>1148</v>
      </c>
      <c r="I421" s="64"/>
      <c r="J421" s="64" t="s">
        <v>32</v>
      </c>
      <c r="K421" s="64" t="s">
        <v>311</v>
      </c>
      <c r="L421" s="64" t="s">
        <v>46</v>
      </c>
      <c r="M421" s="64"/>
      <c r="N421" s="64"/>
      <c r="O421" s="64"/>
      <c r="P421" s="64"/>
      <c r="Q421" s="280">
        <v>45762</v>
      </c>
      <c r="R421" s="280">
        <f>Q421+10</f>
        <v>45772</v>
      </c>
      <c r="S421" s="75" t="s">
        <v>260</v>
      </c>
      <c r="T421" s="75"/>
      <c r="U421" s="98"/>
      <c r="V421" s="98"/>
      <c r="W421" s="68" t="s">
        <v>1662</v>
      </c>
      <c r="X421" s="64"/>
    </row>
    <row r="422" spans="1:24" ht="57">
      <c r="A422" s="68" t="s">
        <v>1663</v>
      </c>
      <c r="B422" s="64" t="s">
        <v>104</v>
      </c>
      <c r="C422" s="65">
        <v>3</v>
      </c>
      <c r="D422" s="65" t="s">
        <v>28</v>
      </c>
      <c r="E422" s="65"/>
      <c r="F422" s="65" t="s">
        <v>32</v>
      </c>
      <c r="G422" s="64"/>
      <c r="H422" s="71" t="s">
        <v>1664</v>
      </c>
      <c r="I422" s="71"/>
      <c r="J422" s="64" t="s">
        <v>32</v>
      </c>
      <c r="K422" s="64" t="s">
        <v>33</v>
      </c>
      <c r="L422" s="64" t="s">
        <v>1665</v>
      </c>
      <c r="M422" s="64"/>
      <c r="N422" s="64"/>
      <c r="O422" s="72"/>
      <c r="P422" s="72"/>
      <c r="Q422" s="280">
        <v>45771</v>
      </c>
      <c r="R422" s="280">
        <f>Q422+7</f>
        <v>45778</v>
      </c>
      <c r="S422" s="75" t="s">
        <v>260</v>
      </c>
      <c r="T422" s="75"/>
      <c r="U422" s="98"/>
      <c r="V422" s="98"/>
      <c r="W422" s="68" t="s">
        <v>1666</v>
      </c>
      <c r="X422" s="64"/>
    </row>
    <row r="423" spans="1:24" ht="72" customHeight="1">
      <c r="A423" s="68" t="s">
        <v>1667</v>
      </c>
      <c r="B423" s="64" t="s">
        <v>104</v>
      </c>
      <c r="C423" s="65">
        <v>3</v>
      </c>
      <c r="D423" s="65" t="s">
        <v>421</v>
      </c>
      <c r="E423" s="65" t="s">
        <v>42</v>
      </c>
      <c r="F423" s="65" t="s">
        <v>43</v>
      </c>
      <c r="G423" s="64" t="s">
        <v>1668</v>
      </c>
      <c r="H423" s="66" t="s">
        <v>1669</v>
      </c>
      <c r="I423" s="66"/>
      <c r="J423" s="64" t="s">
        <v>32</v>
      </c>
      <c r="K423" s="64" t="s">
        <v>33</v>
      </c>
      <c r="L423" s="64" t="s">
        <v>704</v>
      </c>
      <c r="M423" s="64"/>
      <c r="N423" s="64"/>
      <c r="O423" s="64"/>
      <c r="P423" s="64"/>
      <c r="Q423" s="280">
        <v>45814</v>
      </c>
      <c r="R423" s="280">
        <f>Q423+4</f>
        <v>45818</v>
      </c>
      <c r="S423" s="67"/>
      <c r="T423" s="67"/>
      <c r="U423" s="98"/>
      <c r="V423" s="98"/>
      <c r="W423" s="68" t="s">
        <v>1670</v>
      </c>
      <c r="X423" s="64"/>
    </row>
    <row r="424" spans="1:24" ht="72" customHeight="1">
      <c r="A424" s="68" t="s">
        <v>1671</v>
      </c>
      <c r="B424" s="64" t="s">
        <v>268</v>
      </c>
      <c r="C424" s="65">
        <v>3</v>
      </c>
      <c r="D424" s="65"/>
      <c r="E424" s="65"/>
      <c r="F424" s="65" t="s">
        <v>32</v>
      </c>
      <c r="G424" s="64" t="s">
        <v>1672</v>
      </c>
      <c r="H424" s="64" t="s">
        <v>1669</v>
      </c>
      <c r="I424" s="64"/>
      <c r="J424" s="64" t="s">
        <v>32</v>
      </c>
      <c r="K424" s="64" t="s">
        <v>33</v>
      </c>
      <c r="L424" s="64" t="s">
        <v>704</v>
      </c>
      <c r="M424" s="64"/>
      <c r="N424" s="64"/>
      <c r="O424" s="64"/>
      <c r="P424" s="64"/>
      <c r="Q424" s="280">
        <v>45821</v>
      </c>
      <c r="R424" s="280">
        <f>Q424+90</f>
        <v>45911</v>
      </c>
      <c r="S424" s="67"/>
      <c r="T424" s="67"/>
      <c r="U424" s="98"/>
      <c r="V424" s="98"/>
      <c r="W424" s="68" t="s">
        <v>1673</v>
      </c>
      <c r="X424" s="64"/>
    </row>
    <row r="425" spans="1:24" ht="18.95" customHeight="1">
      <c r="A425" s="68" t="s">
        <v>1674</v>
      </c>
      <c r="B425" s="78" t="s">
        <v>144</v>
      </c>
      <c r="C425" s="65">
        <v>3</v>
      </c>
      <c r="D425" s="65"/>
      <c r="E425" s="65"/>
      <c r="F425" s="65" t="s">
        <v>416</v>
      </c>
      <c r="G425" s="64" t="s">
        <v>1675</v>
      </c>
      <c r="H425" s="64" t="s">
        <v>1676</v>
      </c>
      <c r="I425" s="64"/>
      <c r="J425" s="64" t="s">
        <v>32</v>
      </c>
      <c r="K425" s="64" t="s">
        <v>512</v>
      </c>
      <c r="L425" s="64" t="s">
        <v>46</v>
      </c>
      <c r="M425" s="64"/>
      <c r="N425" s="64" t="s">
        <v>64</v>
      </c>
      <c r="O425" s="64"/>
      <c r="P425" s="64"/>
      <c r="Q425" s="280">
        <v>45932</v>
      </c>
      <c r="R425" s="280">
        <f>Q425+70</f>
        <v>46002</v>
      </c>
      <c r="S425" s="67"/>
      <c r="T425" s="67"/>
      <c r="U425" s="98"/>
      <c r="V425" s="98"/>
      <c r="W425" s="68" t="s">
        <v>1677</v>
      </c>
      <c r="X425" s="64"/>
    </row>
    <row r="426" spans="1:24" ht="35.1" customHeight="1">
      <c r="A426" s="68" t="s">
        <v>1678</v>
      </c>
      <c r="B426" s="64" t="s">
        <v>199</v>
      </c>
      <c r="C426" s="65">
        <v>3</v>
      </c>
      <c r="D426" s="65"/>
      <c r="E426" s="65"/>
      <c r="F426" s="65"/>
      <c r="G426" s="64" t="s">
        <v>1679</v>
      </c>
      <c r="H426" s="64" t="s">
        <v>1680</v>
      </c>
      <c r="I426" s="64"/>
      <c r="J426" s="64" t="s">
        <v>77</v>
      </c>
      <c r="K426" s="64" t="s">
        <v>33</v>
      </c>
      <c r="L426" s="64" t="s">
        <v>111</v>
      </c>
      <c r="M426" s="64" t="s">
        <v>112</v>
      </c>
      <c r="N426" s="64" t="s">
        <v>64</v>
      </c>
      <c r="O426" s="64"/>
      <c r="P426" s="64"/>
      <c r="Q426" s="280">
        <v>45775</v>
      </c>
      <c r="R426" s="280">
        <f>Q426+365</f>
        <v>46140</v>
      </c>
      <c r="S426" s="67" t="s">
        <v>37</v>
      </c>
      <c r="T426" s="67"/>
      <c r="U426" s="98"/>
      <c r="V426" s="98"/>
      <c r="W426" s="68" t="s">
        <v>1681</v>
      </c>
      <c r="X426" s="64"/>
    </row>
    <row r="427" spans="1:24" ht="24" customHeight="1">
      <c r="A427" s="68" t="s">
        <v>1682</v>
      </c>
      <c r="B427" s="64" t="s">
        <v>144</v>
      </c>
      <c r="C427" s="65">
        <v>3</v>
      </c>
      <c r="D427" s="65" t="s">
        <v>502</v>
      </c>
      <c r="E427" s="65" t="s">
        <v>518</v>
      </c>
      <c r="F427" s="65" t="s">
        <v>1683</v>
      </c>
      <c r="G427" s="64" t="s">
        <v>1684</v>
      </c>
      <c r="H427" s="64" t="s">
        <v>521</v>
      </c>
      <c r="I427" s="64"/>
      <c r="J427" s="64" t="s">
        <v>32</v>
      </c>
      <c r="K427" s="64" t="s">
        <v>1254</v>
      </c>
      <c r="L427" s="64"/>
      <c r="M427" s="64"/>
      <c r="N427" s="64"/>
      <c r="O427" s="64"/>
      <c r="P427" s="64"/>
      <c r="Q427" s="280">
        <v>45761</v>
      </c>
      <c r="R427" s="280"/>
      <c r="S427" s="75"/>
      <c r="T427" s="75"/>
      <c r="U427" s="284"/>
      <c r="V427" s="284"/>
      <c r="W427" s="68" t="s">
        <v>1685</v>
      </c>
      <c r="X427" s="64"/>
    </row>
    <row r="428" spans="1:24" ht="18.95" customHeight="1">
      <c r="A428" s="68" t="s">
        <v>1686</v>
      </c>
      <c r="B428" s="64" t="s">
        <v>144</v>
      </c>
      <c r="C428" s="65">
        <v>3</v>
      </c>
      <c r="D428" s="65" t="s">
        <v>671</v>
      </c>
      <c r="E428" s="65"/>
      <c r="F428" s="65"/>
      <c r="G428" s="64"/>
      <c r="H428" s="64" t="s">
        <v>1687</v>
      </c>
      <c r="I428" s="64"/>
      <c r="J428" s="64" t="s">
        <v>32</v>
      </c>
      <c r="K428" s="64" t="s">
        <v>33</v>
      </c>
      <c r="L428" s="64"/>
      <c r="M428" s="64"/>
      <c r="N428" s="64"/>
      <c r="O428" s="64"/>
      <c r="P428" s="64"/>
      <c r="Q428" s="280">
        <v>45667</v>
      </c>
      <c r="R428" s="280"/>
      <c r="S428" s="75" t="s">
        <v>260</v>
      </c>
      <c r="T428" s="75"/>
      <c r="U428" s="284"/>
      <c r="V428" s="284"/>
      <c r="W428" s="68"/>
      <c r="X428" s="64"/>
    </row>
    <row r="429" spans="1:24" ht="408.95" customHeight="1">
      <c r="A429" s="68" t="s">
        <v>1688</v>
      </c>
      <c r="B429" s="64" t="s">
        <v>104</v>
      </c>
      <c r="C429" s="65">
        <v>3</v>
      </c>
      <c r="D429" s="65"/>
      <c r="E429" s="65"/>
      <c r="F429" s="65"/>
      <c r="G429" s="64" t="s">
        <v>736</v>
      </c>
      <c r="H429" s="66" t="s">
        <v>1689</v>
      </c>
      <c r="I429" s="66"/>
      <c r="J429" s="64" t="s">
        <v>32</v>
      </c>
      <c r="K429" s="64" t="s">
        <v>50</v>
      </c>
      <c r="L429" s="64"/>
      <c r="M429" s="64"/>
      <c r="N429" s="64"/>
      <c r="O429" s="64"/>
      <c r="P429" s="64">
        <v>19</v>
      </c>
      <c r="Q429" s="280">
        <v>45711</v>
      </c>
      <c r="R429" s="280"/>
      <c r="S429" s="67"/>
      <c r="T429" s="67"/>
      <c r="U429" s="98"/>
      <c r="V429" s="98"/>
      <c r="W429" s="68" t="s">
        <v>1690</v>
      </c>
      <c r="X429" s="64"/>
    </row>
    <row r="430" spans="1:24" ht="18.95">
      <c r="A430" s="68" t="s">
        <v>840</v>
      </c>
      <c r="B430" s="64" t="s">
        <v>144</v>
      </c>
      <c r="C430" s="65">
        <v>3</v>
      </c>
      <c r="D430" s="65"/>
      <c r="E430" s="65"/>
      <c r="F430" s="65"/>
      <c r="G430" s="64" t="s">
        <v>840</v>
      </c>
      <c r="H430" s="64" t="s">
        <v>1691</v>
      </c>
      <c r="I430" s="64"/>
      <c r="J430" s="64" t="s">
        <v>61</v>
      </c>
      <c r="K430" s="64" t="s">
        <v>33</v>
      </c>
      <c r="L430" s="64" t="s">
        <v>62</v>
      </c>
      <c r="M430" s="64"/>
      <c r="N430" s="64"/>
      <c r="O430" s="64"/>
      <c r="P430" s="64"/>
      <c r="Q430" s="280"/>
      <c r="R430" s="280"/>
      <c r="S430" s="67"/>
      <c r="T430" s="67"/>
      <c r="U430" s="98"/>
      <c r="V430" s="98"/>
      <c r="W430" s="68" t="s">
        <v>1692</v>
      </c>
      <c r="X430" s="64"/>
    </row>
    <row r="431" spans="1:24" ht="23.1" customHeight="1">
      <c r="A431" s="83" t="s">
        <v>1693</v>
      </c>
      <c r="B431" s="64" t="s">
        <v>144</v>
      </c>
      <c r="C431" s="65">
        <v>3</v>
      </c>
      <c r="D431" s="65"/>
      <c r="E431" s="65"/>
      <c r="F431" s="65"/>
      <c r="G431" s="79" t="s">
        <v>1694</v>
      </c>
      <c r="H431" s="79" t="s">
        <v>1695</v>
      </c>
      <c r="I431" s="79"/>
      <c r="J431" s="79" t="s">
        <v>77</v>
      </c>
      <c r="K431" s="79" t="s">
        <v>33</v>
      </c>
      <c r="L431" s="79" t="s">
        <v>588</v>
      </c>
      <c r="M431" s="79" t="s">
        <v>121</v>
      </c>
      <c r="N431" s="79"/>
      <c r="O431" s="79"/>
      <c r="P431" s="79"/>
      <c r="Q431" s="280"/>
      <c r="R431" s="280"/>
      <c r="S431" s="82"/>
      <c r="T431" s="82"/>
      <c r="U431" s="285"/>
      <c r="V431" s="285"/>
      <c r="W431" s="83"/>
      <c r="X431" s="64"/>
    </row>
    <row r="432" spans="1:24" ht="18" customHeight="1">
      <c r="A432" s="68" t="s">
        <v>732</v>
      </c>
      <c r="B432" s="64" t="s">
        <v>144</v>
      </c>
      <c r="C432" s="65">
        <v>2</v>
      </c>
      <c r="D432" s="65"/>
      <c r="E432" s="65"/>
      <c r="F432" s="65"/>
      <c r="G432" s="64" t="s">
        <v>183</v>
      </c>
      <c r="H432" s="64" t="s">
        <v>1696</v>
      </c>
      <c r="I432" s="64"/>
      <c r="J432" s="64" t="s">
        <v>32</v>
      </c>
      <c r="K432" s="64" t="s">
        <v>33</v>
      </c>
      <c r="L432" s="64" t="s">
        <v>34</v>
      </c>
      <c r="M432" s="64" t="s">
        <v>1306</v>
      </c>
      <c r="N432" s="64" t="s">
        <v>64</v>
      </c>
      <c r="O432" s="64"/>
      <c r="P432" s="64"/>
      <c r="Q432" s="280">
        <v>45340</v>
      </c>
      <c r="R432" s="280">
        <f>Q432+4</f>
        <v>45344</v>
      </c>
      <c r="S432" s="67"/>
      <c r="T432" s="67"/>
      <c r="U432" s="98"/>
      <c r="V432" s="98"/>
      <c r="W432" s="68"/>
      <c r="X432" s="64"/>
    </row>
    <row r="433" spans="1:24" ht="18.95" customHeight="1">
      <c r="A433" s="68" t="s">
        <v>1697</v>
      </c>
      <c r="B433" s="64" t="s">
        <v>144</v>
      </c>
      <c r="C433" s="65">
        <v>2</v>
      </c>
      <c r="D433" s="65"/>
      <c r="E433" s="65"/>
      <c r="F433" s="65"/>
      <c r="G433" s="64" t="s">
        <v>183</v>
      </c>
      <c r="H433" s="64" t="s">
        <v>1698</v>
      </c>
      <c r="I433" s="64"/>
      <c r="J433" s="64" t="s">
        <v>32</v>
      </c>
      <c r="K433" s="64" t="s">
        <v>1699</v>
      </c>
      <c r="L433" s="64" t="s">
        <v>111</v>
      </c>
      <c r="M433" s="64" t="s">
        <v>134</v>
      </c>
      <c r="N433" s="64" t="s">
        <v>64</v>
      </c>
      <c r="O433" s="64"/>
      <c r="P433" s="64"/>
      <c r="Q433" s="280">
        <v>45345</v>
      </c>
      <c r="R433" s="280">
        <f>Q433+4</f>
        <v>45349</v>
      </c>
      <c r="S433" s="67"/>
      <c r="T433" s="67"/>
      <c r="U433" s="98"/>
      <c r="V433" s="98"/>
      <c r="W433" s="68"/>
      <c r="X433" s="64"/>
    </row>
    <row r="434" spans="1:24" ht="57" customHeight="1">
      <c r="A434" s="68" t="s">
        <v>1700</v>
      </c>
      <c r="B434" s="64" t="s">
        <v>144</v>
      </c>
      <c r="C434" s="65">
        <v>2</v>
      </c>
      <c r="D434" s="65"/>
      <c r="E434" s="65"/>
      <c r="F434" s="65"/>
      <c r="G434" s="64" t="s">
        <v>1701</v>
      </c>
      <c r="H434" s="64" t="s">
        <v>1702</v>
      </c>
      <c r="I434" s="64"/>
      <c r="J434" s="64" t="s">
        <v>32</v>
      </c>
      <c r="K434" s="64" t="s">
        <v>33</v>
      </c>
      <c r="L434" s="64" t="s">
        <v>111</v>
      </c>
      <c r="M434" s="64" t="s">
        <v>134</v>
      </c>
      <c r="N434" s="64" t="s">
        <v>64</v>
      </c>
      <c r="O434" s="64"/>
      <c r="P434" s="64"/>
      <c r="Q434" s="280">
        <v>45345</v>
      </c>
      <c r="R434" s="280">
        <f>Q434+4</f>
        <v>45349</v>
      </c>
      <c r="S434" s="67"/>
      <c r="T434" s="67"/>
      <c r="U434" s="98"/>
      <c r="V434" s="98"/>
      <c r="W434" s="68"/>
      <c r="X434" s="64"/>
    </row>
    <row r="435" spans="1:24" ht="171" customHeight="1">
      <c r="A435" s="68" t="s">
        <v>1703</v>
      </c>
      <c r="B435" s="64" t="s">
        <v>144</v>
      </c>
      <c r="C435" s="65">
        <v>2</v>
      </c>
      <c r="D435" s="65"/>
      <c r="E435" s="65"/>
      <c r="F435" s="65"/>
      <c r="G435" s="64" t="s">
        <v>183</v>
      </c>
      <c r="H435" s="64" t="s">
        <v>1704</v>
      </c>
      <c r="I435" s="64"/>
      <c r="J435" s="64" t="s">
        <v>32</v>
      </c>
      <c r="K435" s="64" t="s">
        <v>33</v>
      </c>
      <c r="L435" s="64" t="s">
        <v>34</v>
      </c>
      <c r="M435" s="64" t="s">
        <v>112</v>
      </c>
      <c r="N435" s="64" t="s">
        <v>64</v>
      </c>
      <c r="O435" s="64"/>
      <c r="P435" s="64"/>
      <c r="Q435" s="280">
        <v>45348</v>
      </c>
      <c r="R435" s="280">
        <f>Q435+10</f>
        <v>45358</v>
      </c>
      <c r="S435" s="67"/>
      <c r="T435" s="67"/>
      <c r="U435" s="98"/>
      <c r="V435" s="98"/>
      <c r="W435" s="68" t="s">
        <v>757</v>
      </c>
      <c r="X435" s="64"/>
    </row>
    <row r="436" spans="1:24" ht="18.95" customHeight="1">
      <c r="A436" s="68" t="s">
        <v>1705</v>
      </c>
      <c r="B436" s="64" t="s">
        <v>144</v>
      </c>
      <c r="C436" s="65">
        <v>2</v>
      </c>
      <c r="D436" s="65"/>
      <c r="E436" s="65"/>
      <c r="F436" s="65"/>
      <c r="G436" s="64" t="s">
        <v>454</v>
      </c>
      <c r="H436" s="64" t="s">
        <v>1314</v>
      </c>
      <c r="I436" s="64"/>
      <c r="J436" s="64" t="s">
        <v>32</v>
      </c>
      <c r="K436" s="64" t="s">
        <v>33</v>
      </c>
      <c r="L436" s="64" t="s">
        <v>34</v>
      </c>
      <c r="M436" s="64" t="s">
        <v>134</v>
      </c>
      <c r="N436" s="64" t="s">
        <v>64</v>
      </c>
      <c r="O436" s="64"/>
      <c r="P436" s="64"/>
      <c r="Q436" s="280">
        <v>45348</v>
      </c>
      <c r="R436" s="280">
        <f>Q436+10</f>
        <v>45358</v>
      </c>
      <c r="S436" s="67"/>
      <c r="T436" s="67"/>
      <c r="U436" s="98"/>
      <c r="V436" s="98"/>
      <c r="W436" s="68"/>
      <c r="X436" s="64"/>
    </row>
    <row r="437" spans="1:24" ht="18.95" customHeight="1">
      <c r="A437" s="68" t="s">
        <v>1706</v>
      </c>
      <c r="B437" s="64" t="s">
        <v>144</v>
      </c>
      <c r="C437" s="65">
        <v>2</v>
      </c>
      <c r="D437" s="65"/>
      <c r="E437" s="65"/>
      <c r="F437" s="65"/>
      <c r="G437" s="64" t="s">
        <v>1707</v>
      </c>
      <c r="H437" s="64" t="s">
        <v>1704</v>
      </c>
      <c r="I437" s="64"/>
      <c r="J437" s="64" t="s">
        <v>32</v>
      </c>
      <c r="K437" s="64" t="s">
        <v>33</v>
      </c>
      <c r="L437" s="64" t="s">
        <v>34</v>
      </c>
      <c r="M437" s="64" t="s">
        <v>112</v>
      </c>
      <c r="N437" s="64" t="s">
        <v>64</v>
      </c>
      <c r="O437" s="64"/>
      <c r="P437" s="64"/>
      <c r="Q437" s="280">
        <v>45371</v>
      </c>
      <c r="R437" s="280">
        <f>Q437+10</f>
        <v>45381</v>
      </c>
      <c r="S437" s="67"/>
      <c r="T437" s="67"/>
      <c r="U437" s="98"/>
      <c r="V437" s="98"/>
      <c r="W437" s="68" t="s">
        <v>1708</v>
      </c>
      <c r="X437" s="64"/>
    </row>
    <row r="438" spans="1:24" ht="72" customHeight="1">
      <c r="A438" s="68" t="s">
        <v>1709</v>
      </c>
      <c r="B438" s="64" t="s">
        <v>104</v>
      </c>
      <c r="C438" s="65">
        <v>2</v>
      </c>
      <c r="D438" s="65"/>
      <c r="E438" s="65"/>
      <c r="F438" s="65"/>
      <c r="G438" s="64" t="s">
        <v>1710</v>
      </c>
      <c r="H438" s="64" t="s">
        <v>1711</v>
      </c>
      <c r="I438" s="64"/>
      <c r="J438" s="64" t="s">
        <v>61</v>
      </c>
      <c r="K438" s="64" t="s">
        <v>33</v>
      </c>
      <c r="L438" s="64" t="s">
        <v>62</v>
      </c>
      <c r="M438" s="64"/>
      <c r="N438" s="64" t="s">
        <v>64</v>
      </c>
      <c r="O438" s="64"/>
      <c r="P438" s="64"/>
      <c r="Q438" s="280">
        <v>45371</v>
      </c>
      <c r="R438" s="280">
        <f>Q438+10</f>
        <v>45381</v>
      </c>
      <c r="S438" s="67"/>
      <c r="T438" s="67"/>
      <c r="U438" s="98"/>
      <c r="V438" s="98"/>
      <c r="W438" s="68" t="s">
        <v>1712</v>
      </c>
      <c r="X438" s="64"/>
    </row>
    <row r="439" spans="1:24" ht="23.1" customHeight="1">
      <c r="A439" s="68" t="s">
        <v>1713</v>
      </c>
      <c r="B439" s="64" t="s">
        <v>429</v>
      </c>
      <c r="C439" s="65">
        <v>2</v>
      </c>
      <c r="D439" s="65"/>
      <c r="E439" s="65"/>
      <c r="F439" s="65"/>
      <c r="G439" s="64" t="s">
        <v>1714</v>
      </c>
      <c r="H439" s="71" t="s">
        <v>1715</v>
      </c>
      <c r="I439" s="71"/>
      <c r="J439" s="64" t="s">
        <v>264</v>
      </c>
      <c r="K439" s="64" t="s">
        <v>311</v>
      </c>
      <c r="L439" s="64" t="s">
        <v>186</v>
      </c>
      <c r="M439" s="64"/>
      <c r="N439" s="64"/>
      <c r="O439" s="72"/>
      <c r="P439" s="72"/>
      <c r="Q439" s="280">
        <v>45414</v>
      </c>
      <c r="R439" s="280">
        <f>Q439+1</f>
        <v>45415</v>
      </c>
      <c r="S439" s="67"/>
      <c r="T439" s="67"/>
      <c r="U439" s="98"/>
      <c r="V439" s="98"/>
      <c r="W439" s="68" t="s">
        <v>1716</v>
      </c>
      <c r="X439" s="64"/>
    </row>
    <row r="440" spans="1:24" ht="38.1" customHeight="1">
      <c r="A440" s="83" t="s">
        <v>1717</v>
      </c>
      <c r="B440" s="64" t="s">
        <v>380</v>
      </c>
      <c r="C440" s="65">
        <v>2</v>
      </c>
      <c r="D440" s="65"/>
      <c r="E440" s="65"/>
      <c r="F440" s="65"/>
      <c r="G440" s="79" t="s">
        <v>656</v>
      </c>
      <c r="H440" s="79" t="s">
        <v>1718</v>
      </c>
      <c r="I440" s="79"/>
      <c r="J440" s="79" t="s">
        <v>32</v>
      </c>
      <c r="K440" s="79" t="s">
        <v>33</v>
      </c>
      <c r="L440" s="79" t="s">
        <v>111</v>
      </c>
      <c r="M440" s="79" t="s">
        <v>1719</v>
      </c>
      <c r="N440" s="79" t="s">
        <v>36</v>
      </c>
      <c r="O440" s="79"/>
      <c r="P440" s="79"/>
      <c r="Q440" s="280">
        <v>45468</v>
      </c>
      <c r="R440" s="280">
        <v>45420</v>
      </c>
      <c r="S440" s="82"/>
      <c r="T440" s="82"/>
      <c r="U440" s="285"/>
      <c r="V440" s="285"/>
      <c r="W440" s="83" t="s">
        <v>1720</v>
      </c>
      <c r="X440" s="79"/>
    </row>
    <row r="441" spans="1:24" ht="95.1" customHeight="1">
      <c r="A441" s="68" t="s">
        <v>1721</v>
      </c>
      <c r="B441" s="64" t="s">
        <v>137</v>
      </c>
      <c r="C441" s="65">
        <v>2</v>
      </c>
      <c r="D441" s="65"/>
      <c r="E441" s="65"/>
      <c r="F441" s="65"/>
      <c r="G441" s="64" t="s">
        <v>1722</v>
      </c>
      <c r="H441" s="64" t="s">
        <v>1723</v>
      </c>
      <c r="I441" s="64"/>
      <c r="J441" s="64" t="s">
        <v>32</v>
      </c>
      <c r="K441" s="64" t="s">
        <v>1724</v>
      </c>
      <c r="L441" s="64" t="s">
        <v>765</v>
      </c>
      <c r="M441" s="64" t="s">
        <v>1725</v>
      </c>
      <c r="N441" s="64" t="s">
        <v>64</v>
      </c>
      <c r="O441" s="64"/>
      <c r="P441" s="64"/>
      <c r="Q441" s="280">
        <v>45483</v>
      </c>
      <c r="R441" s="280">
        <f>Q441+10</f>
        <v>45493</v>
      </c>
      <c r="S441" s="67"/>
      <c r="T441" s="67"/>
      <c r="U441" s="98"/>
      <c r="V441" s="98"/>
      <c r="W441" s="68" t="s">
        <v>1726</v>
      </c>
      <c r="X441" s="64"/>
    </row>
    <row r="442" spans="1:24" ht="18.95" customHeight="1">
      <c r="A442" s="68" t="s">
        <v>1727</v>
      </c>
      <c r="B442" s="64" t="s">
        <v>144</v>
      </c>
      <c r="C442" s="65">
        <v>2</v>
      </c>
      <c r="D442" s="65"/>
      <c r="E442" s="65"/>
      <c r="F442" s="65"/>
      <c r="G442" s="64" t="s">
        <v>430</v>
      </c>
      <c r="H442" s="71" t="s">
        <v>1463</v>
      </c>
      <c r="I442" s="71"/>
      <c r="J442" s="64" t="s">
        <v>32</v>
      </c>
      <c r="K442" s="64" t="s">
        <v>33</v>
      </c>
      <c r="L442" s="64" t="s">
        <v>46</v>
      </c>
      <c r="M442" s="64" t="s">
        <v>430</v>
      </c>
      <c r="N442" s="64" t="s">
        <v>64</v>
      </c>
      <c r="O442" s="72"/>
      <c r="P442" s="72"/>
      <c r="Q442" s="280">
        <v>45518</v>
      </c>
      <c r="R442" s="280">
        <f>Q442+60</f>
        <v>45578</v>
      </c>
      <c r="S442" s="67"/>
      <c r="T442" s="67"/>
      <c r="U442" s="98"/>
      <c r="V442" s="98"/>
      <c r="W442" s="83" t="s">
        <v>1728</v>
      </c>
      <c r="X442" s="79"/>
    </row>
    <row r="443" spans="1:24" ht="95.1" customHeight="1">
      <c r="A443" s="68" t="s">
        <v>1729</v>
      </c>
      <c r="B443" s="78" t="s">
        <v>144</v>
      </c>
      <c r="C443" s="65">
        <v>2</v>
      </c>
      <c r="D443" s="65"/>
      <c r="E443" s="65"/>
      <c r="F443" s="65"/>
      <c r="G443" s="64"/>
      <c r="H443" s="64" t="s">
        <v>1730</v>
      </c>
      <c r="I443" s="64"/>
      <c r="J443" s="64" t="s">
        <v>32</v>
      </c>
      <c r="K443" s="64" t="s">
        <v>33</v>
      </c>
      <c r="L443" s="64"/>
      <c r="M443" s="64"/>
      <c r="N443" s="64"/>
      <c r="O443" s="64"/>
      <c r="P443" s="64"/>
      <c r="Q443" s="280">
        <v>45615</v>
      </c>
      <c r="R443" s="280">
        <f>Q443+7</f>
        <v>45622</v>
      </c>
      <c r="S443" s="67"/>
      <c r="T443" s="67"/>
      <c r="U443" s="98"/>
      <c r="V443" s="98"/>
      <c r="W443" s="68" t="s">
        <v>1731</v>
      </c>
      <c r="X443" s="64"/>
    </row>
    <row r="444" spans="1:24" ht="114" customHeight="1">
      <c r="A444" s="255" t="s">
        <v>1732</v>
      </c>
      <c r="B444" s="64"/>
      <c r="C444" s="65">
        <v>2</v>
      </c>
      <c r="D444" s="65"/>
      <c r="E444" s="65"/>
      <c r="F444" s="65"/>
      <c r="G444" s="64"/>
      <c r="H444" s="71" t="s">
        <v>1332</v>
      </c>
      <c r="I444" s="71"/>
      <c r="J444" s="64" t="s">
        <v>905</v>
      </c>
      <c r="K444" s="64" t="s">
        <v>133</v>
      </c>
      <c r="L444" s="64"/>
      <c r="M444" s="64"/>
      <c r="N444" s="64"/>
      <c r="O444" s="72"/>
      <c r="P444" s="72"/>
      <c r="Q444" s="280">
        <v>45615</v>
      </c>
      <c r="R444" s="280">
        <f>Q444+10</f>
        <v>45625</v>
      </c>
      <c r="S444" s="67"/>
      <c r="T444" s="67"/>
      <c r="U444" s="98"/>
      <c r="V444" s="98"/>
      <c r="W444" s="68" t="s">
        <v>1733</v>
      </c>
      <c r="X444" s="64"/>
    </row>
    <row r="445" spans="1:24" ht="53.1" customHeight="1">
      <c r="A445" s="255" t="s">
        <v>1734</v>
      </c>
      <c r="B445" s="64"/>
      <c r="C445" s="65">
        <v>2</v>
      </c>
      <c r="D445" s="65"/>
      <c r="E445" s="65"/>
      <c r="F445" s="65"/>
      <c r="G445" s="64"/>
      <c r="H445" s="71" t="s">
        <v>1332</v>
      </c>
      <c r="I445" s="71"/>
      <c r="J445" s="64" t="s">
        <v>905</v>
      </c>
      <c r="K445" s="64" t="s">
        <v>133</v>
      </c>
      <c r="L445" s="64"/>
      <c r="M445" s="64"/>
      <c r="N445" s="64"/>
      <c r="O445" s="72"/>
      <c r="P445" s="72"/>
      <c r="Q445" s="280">
        <v>45615</v>
      </c>
      <c r="R445" s="280">
        <f>Q445+14</f>
        <v>45629</v>
      </c>
      <c r="S445" s="67"/>
      <c r="T445" s="67"/>
      <c r="U445" s="98"/>
      <c r="V445" s="98"/>
      <c r="W445" s="68" t="s">
        <v>1735</v>
      </c>
      <c r="X445" s="64"/>
    </row>
    <row r="446" spans="1:24" ht="18.95" customHeight="1">
      <c r="A446" s="68" t="s">
        <v>1736</v>
      </c>
      <c r="B446" s="64" t="s">
        <v>144</v>
      </c>
      <c r="C446" s="65">
        <v>2</v>
      </c>
      <c r="D446" s="65" t="s">
        <v>1737</v>
      </c>
      <c r="E446" s="65"/>
      <c r="F446" s="65" t="s">
        <v>1738</v>
      </c>
      <c r="G446" s="64" t="s">
        <v>1739</v>
      </c>
      <c r="H446" s="66" t="s">
        <v>1740</v>
      </c>
      <c r="I446" s="66"/>
      <c r="J446" s="64" t="s">
        <v>1738</v>
      </c>
      <c r="K446" s="64" t="s">
        <v>33</v>
      </c>
      <c r="L446" s="64" t="s">
        <v>407</v>
      </c>
      <c r="M446" s="64"/>
      <c r="N446" s="64"/>
      <c r="O446" s="64"/>
      <c r="P446" s="64">
        <v>1</v>
      </c>
      <c r="Q446" s="280">
        <v>45783</v>
      </c>
      <c r="R446" s="280">
        <f>Q446+14</f>
        <v>45797</v>
      </c>
      <c r="S446" s="67"/>
      <c r="T446" s="67"/>
      <c r="U446" s="98"/>
      <c r="V446" s="98"/>
      <c r="W446" s="68" t="s">
        <v>1741</v>
      </c>
      <c r="X446" s="64"/>
    </row>
    <row r="447" spans="1:24" ht="114" customHeight="1">
      <c r="A447" s="68" t="s">
        <v>1742</v>
      </c>
      <c r="B447" s="64" t="s">
        <v>144</v>
      </c>
      <c r="C447" s="65">
        <v>2</v>
      </c>
      <c r="D447" s="65" t="s">
        <v>664</v>
      </c>
      <c r="E447" s="65"/>
      <c r="F447" s="65" t="s">
        <v>1743</v>
      </c>
      <c r="G447" s="64"/>
      <c r="H447" s="64" t="s">
        <v>1744</v>
      </c>
      <c r="I447" s="64"/>
      <c r="J447" s="64" t="s">
        <v>77</v>
      </c>
      <c r="K447" s="64" t="s">
        <v>311</v>
      </c>
      <c r="L447" s="64" t="s">
        <v>175</v>
      </c>
      <c r="M447" s="64"/>
      <c r="N447" s="64"/>
      <c r="O447" s="64"/>
      <c r="P447" s="64"/>
      <c r="Q447" s="280">
        <v>45818</v>
      </c>
      <c r="R447" s="280">
        <f>Q447+7</f>
        <v>45825</v>
      </c>
      <c r="S447" s="67" t="s">
        <v>260</v>
      </c>
      <c r="T447" s="67"/>
      <c r="U447" s="290"/>
      <c r="V447" s="290"/>
      <c r="W447" s="68" t="s">
        <v>1745</v>
      </c>
      <c r="X447" s="64"/>
    </row>
    <row r="448" spans="1:24" ht="18" customHeight="1">
      <c r="A448" s="68" t="s">
        <v>1746</v>
      </c>
      <c r="B448" s="64" t="s">
        <v>144</v>
      </c>
      <c r="C448" s="65">
        <v>2</v>
      </c>
      <c r="D448" s="65"/>
      <c r="E448" s="65"/>
      <c r="F448" s="65"/>
      <c r="G448" s="64" t="s">
        <v>1747</v>
      </c>
      <c r="H448" s="64" t="s">
        <v>1704</v>
      </c>
      <c r="I448" s="64"/>
      <c r="J448" s="64" t="s">
        <v>32</v>
      </c>
      <c r="K448" s="64" t="s">
        <v>33</v>
      </c>
      <c r="L448" s="64" t="s">
        <v>34</v>
      </c>
      <c r="M448" s="64" t="s">
        <v>112</v>
      </c>
      <c r="N448" s="64" t="s">
        <v>64</v>
      </c>
      <c r="O448" s="64"/>
      <c r="P448" s="64"/>
      <c r="Q448" s="280">
        <v>46000</v>
      </c>
      <c r="R448" s="280">
        <f>Q448+30</f>
        <v>46030</v>
      </c>
      <c r="S448" s="67" t="s">
        <v>37</v>
      </c>
      <c r="T448" s="67"/>
      <c r="U448" s="98"/>
      <c r="V448" s="98"/>
      <c r="W448" s="68" t="s">
        <v>1748</v>
      </c>
      <c r="X448" s="64"/>
    </row>
    <row r="449" spans="1:24" ht="38.1" customHeight="1">
      <c r="A449" s="83" t="s">
        <v>1749</v>
      </c>
      <c r="B449" s="64" t="s">
        <v>144</v>
      </c>
      <c r="C449" s="65">
        <v>2</v>
      </c>
      <c r="D449" s="65"/>
      <c r="E449" s="65"/>
      <c r="F449" s="65"/>
      <c r="G449" s="79" t="s">
        <v>1351</v>
      </c>
      <c r="H449" s="79" t="s">
        <v>1750</v>
      </c>
      <c r="I449" s="79"/>
      <c r="J449" s="79" t="s">
        <v>32</v>
      </c>
      <c r="K449" s="79" t="s">
        <v>33</v>
      </c>
      <c r="L449" s="79" t="s">
        <v>46</v>
      </c>
      <c r="M449" s="79" t="s">
        <v>1751</v>
      </c>
      <c r="N449" s="79" t="s">
        <v>64</v>
      </c>
      <c r="O449" s="79"/>
      <c r="P449" s="79"/>
      <c r="Q449" s="280" t="s">
        <v>64</v>
      </c>
      <c r="R449" s="280" t="s">
        <v>64</v>
      </c>
      <c r="S449" s="82"/>
      <c r="T449" s="82"/>
      <c r="U449" s="285"/>
      <c r="V449" s="285"/>
      <c r="W449" s="83" t="s">
        <v>1752</v>
      </c>
      <c r="X449" s="79"/>
    </row>
    <row r="450" spans="1:24" ht="209.1" customHeight="1">
      <c r="A450" s="255" t="s">
        <v>1753</v>
      </c>
      <c r="B450" s="64" t="s">
        <v>144</v>
      </c>
      <c r="C450" s="65">
        <v>2</v>
      </c>
      <c r="D450" s="65"/>
      <c r="E450" s="65"/>
      <c r="F450" s="65"/>
      <c r="G450" s="64"/>
      <c r="H450" s="71" t="s">
        <v>1754</v>
      </c>
      <c r="I450" s="71"/>
      <c r="J450" s="64" t="s">
        <v>77</v>
      </c>
      <c r="K450" s="64" t="s">
        <v>33</v>
      </c>
      <c r="L450" s="64"/>
      <c r="M450" s="64"/>
      <c r="N450" s="64"/>
      <c r="O450" s="72"/>
      <c r="P450" s="72"/>
      <c r="Q450" s="280">
        <v>45677</v>
      </c>
      <c r="R450" s="280"/>
      <c r="S450" s="67"/>
      <c r="T450" s="67"/>
      <c r="U450" s="98"/>
      <c r="V450" s="98"/>
      <c r="W450" s="68" t="s">
        <v>1755</v>
      </c>
      <c r="X450" s="64"/>
    </row>
    <row r="451" spans="1:24" ht="75.95" customHeight="1">
      <c r="A451" s="68" t="s">
        <v>1756</v>
      </c>
      <c r="B451" s="64" t="s">
        <v>104</v>
      </c>
      <c r="C451" s="65">
        <v>2</v>
      </c>
      <c r="D451" s="65" t="s">
        <v>28</v>
      </c>
      <c r="E451" s="65"/>
      <c r="F451" s="65"/>
      <c r="G451" s="64" t="s">
        <v>90</v>
      </c>
      <c r="H451" s="66" t="s">
        <v>1757</v>
      </c>
      <c r="I451" s="66"/>
      <c r="J451" s="64" t="s">
        <v>77</v>
      </c>
      <c r="K451" s="64" t="s">
        <v>33</v>
      </c>
      <c r="L451" s="64" t="s">
        <v>1266</v>
      </c>
      <c r="M451" s="64" t="s">
        <v>1758</v>
      </c>
      <c r="N451" s="64" t="s">
        <v>64</v>
      </c>
      <c r="O451" s="64"/>
      <c r="P451" s="64"/>
      <c r="Q451" s="280">
        <v>45587</v>
      </c>
      <c r="R451" s="280"/>
      <c r="S451" s="87"/>
      <c r="T451" s="87"/>
      <c r="U451" s="291"/>
      <c r="V451" s="291"/>
      <c r="W451" s="68" t="s">
        <v>1759</v>
      </c>
      <c r="X451" s="64"/>
    </row>
    <row r="452" spans="1:24" ht="18" customHeight="1">
      <c r="A452" s="68" t="s">
        <v>1760</v>
      </c>
      <c r="B452" s="64" t="s">
        <v>144</v>
      </c>
      <c r="C452" s="65">
        <v>1</v>
      </c>
      <c r="D452" s="65"/>
      <c r="E452" s="65"/>
      <c r="F452" s="65"/>
      <c r="G452" s="64" t="s">
        <v>454</v>
      </c>
      <c r="H452" s="64" t="s">
        <v>1761</v>
      </c>
      <c r="I452" s="64"/>
      <c r="J452" s="64" t="s">
        <v>32</v>
      </c>
      <c r="K452" s="64" t="s">
        <v>33</v>
      </c>
      <c r="L452" s="64" t="s">
        <v>588</v>
      </c>
      <c r="M452" s="64" t="s">
        <v>134</v>
      </c>
      <c r="N452" s="64" t="s">
        <v>64</v>
      </c>
      <c r="O452" s="64"/>
      <c r="P452" s="64"/>
      <c r="Q452" s="280">
        <v>45371</v>
      </c>
      <c r="R452" s="280">
        <f>Q452+10</f>
        <v>45381</v>
      </c>
      <c r="S452" s="67"/>
      <c r="T452" s="67"/>
      <c r="U452" s="98"/>
      <c r="V452" s="98"/>
      <c r="W452" s="68"/>
      <c r="X452" s="64"/>
    </row>
    <row r="453" spans="1:24" ht="24" customHeight="1">
      <c r="A453" s="68" t="s">
        <v>1762</v>
      </c>
      <c r="B453" s="64" t="s">
        <v>144</v>
      </c>
      <c r="C453" s="65">
        <v>1</v>
      </c>
      <c r="D453" s="65"/>
      <c r="E453" s="65"/>
      <c r="F453" s="65"/>
      <c r="G453" s="64" t="s">
        <v>1763</v>
      </c>
      <c r="H453" s="64" t="s">
        <v>1764</v>
      </c>
      <c r="I453" s="64"/>
      <c r="J453" s="64" t="s">
        <v>77</v>
      </c>
      <c r="K453" s="64" t="s">
        <v>33</v>
      </c>
      <c r="L453" s="64" t="s">
        <v>1765</v>
      </c>
      <c r="M453" s="64" t="s">
        <v>134</v>
      </c>
      <c r="N453" s="64" t="s">
        <v>64</v>
      </c>
      <c r="O453" s="64"/>
      <c r="P453" s="64"/>
      <c r="Q453" s="280">
        <v>45346</v>
      </c>
      <c r="R453" s="280">
        <v>45397</v>
      </c>
      <c r="S453" s="67"/>
      <c r="T453" s="67"/>
      <c r="U453" s="98"/>
      <c r="V453" s="98"/>
      <c r="W453" s="68"/>
      <c r="X453" s="64"/>
    </row>
    <row r="454" spans="1:24" ht="18" customHeight="1">
      <c r="A454" s="83" t="s">
        <v>1766</v>
      </c>
      <c r="B454" s="64" t="s">
        <v>199</v>
      </c>
      <c r="C454" s="65">
        <v>1</v>
      </c>
      <c r="D454" s="65"/>
      <c r="E454" s="65"/>
      <c r="F454" s="65"/>
      <c r="G454" s="79" t="s">
        <v>1767</v>
      </c>
      <c r="H454" s="79" t="s">
        <v>1148</v>
      </c>
      <c r="I454" s="79"/>
      <c r="J454" s="79" t="s">
        <v>32</v>
      </c>
      <c r="K454" s="79" t="s">
        <v>33</v>
      </c>
      <c r="L454" s="79" t="s">
        <v>46</v>
      </c>
      <c r="M454" s="79" t="s">
        <v>706</v>
      </c>
      <c r="N454" s="79" t="s">
        <v>64</v>
      </c>
      <c r="O454" s="79"/>
      <c r="P454" s="79"/>
      <c r="Q454" s="280">
        <v>45430</v>
      </c>
      <c r="R454" s="280">
        <f>Q454+7</f>
        <v>45437</v>
      </c>
      <c r="S454" s="82"/>
      <c r="T454" s="82"/>
      <c r="U454" s="285"/>
      <c r="V454" s="285"/>
      <c r="W454" s="83" t="s">
        <v>1768</v>
      </c>
      <c r="X454" s="64"/>
    </row>
    <row r="455" spans="1:24" ht="75.95" customHeight="1">
      <c r="A455" s="68" t="s">
        <v>1769</v>
      </c>
      <c r="B455" s="64" t="s">
        <v>199</v>
      </c>
      <c r="C455" s="65">
        <v>1</v>
      </c>
      <c r="D455" s="65"/>
      <c r="E455" s="65"/>
      <c r="F455" s="65"/>
      <c r="G455" s="64" t="s">
        <v>1770</v>
      </c>
      <c r="H455" s="64" t="s">
        <v>1771</v>
      </c>
      <c r="I455" s="64"/>
      <c r="J455" s="64" t="s">
        <v>32</v>
      </c>
      <c r="K455" s="64" t="s">
        <v>33</v>
      </c>
      <c r="L455" s="64" t="s">
        <v>46</v>
      </c>
      <c r="M455" s="64" t="s">
        <v>723</v>
      </c>
      <c r="N455" s="64" t="s">
        <v>64</v>
      </c>
      <c r="O455" s="64"/>
      <c r="P455" s="64"/>
      <c r="Q455" s="280">
        <v>45430</v>
      </c>
      <c r="R455" s="280">
        <f>Q455+14</f>
        <v>45444</v>
      </c>
      <c r="S455" s="67"/>
      <c r="T455" s="67"/>
      <c r="U455" s="98"/>
      <c r="V455" s="98"/>
      <c r="W455" s="68" t="s">
        <v>1772</v>
      </c>
      <c r="X455" s="64"/>
    </row>
    <row r="456" spans="1:24" ht="48" customHeight="1">
      <c r="A456" s="83" t="s">
        <v>1773</v>
      </c>
      <c r="B456" s="64" t="s">
        <v>199</v>
      </c>
      <c r="C456" s="65">
        <v>1</v>
      </c>
      <c r="D456" s="65"/>
      <c r="E456" s="65"/>
      <c r="F456" s="65"/>
      <c r="G456" s="79" t="s">
        <v>1369</v>
      </c>
      <c r="H456" s="79" t="s">
        <v>1774</v>
      </c>
      <c r="I456" s="79"/>
      <c r="J456" s="79" t="s">
        <v>1156</v>
      </c>
      <c r="K456" s="79" t="s">
        <v>33</v>
      </c>
      <c r="L456" s="79" t="s">
        <v>34</v>
      </c>
      <c r="M456" s="79" t="s">
        <v>1775</v>
      </c>
      <c r="N456" s="79" t="s">
        <v>64</v>
      </c>
      <c r="O456" s="79"/>
      <c r="P456" s="79"/>
      <c r="Q456" s="280">
        <v>45483</v>
      </c>
      <c r="R456" s="280">
        <f>Q456+10</f>
        <v>45493</v>
      </c>
      <c r="S456" s="82"/>
      <c r="T456" s="82"/>
      <c r="U456" s="285"/>
      <c r="V456" s="285"/>
      <c r="W456" s="83" t="s">
        <v>1776</v>
      </c>
      <c r="X456" s="79"/>
    </row>
    <row r="457" spans="1:24" ht="168" customHeight="1">
      <c r="A457" s="68" t="s">
        <v>1777</v>
      </c>
      <c r="B457" s="64" t="s">
        <v>137</v>
      </c>
      <c r="C457" s="65">
        <v>1</v>
      </c>
      <c r="D457" s="65"/>
      <c r="E457" s="65"/>
      <c r="F457" s="65"/>
      <c r="G457" s="64" t="s">
        <v>1429</v>
      </c>
      <c r="H457" s="64" t="s">
        <v>1778</v>
      </c>
      <c r="I457" s="64"/>
      <c r="J457" s="64" t="s">
        <v>32</v>
      </c>
      <c r="K457" s="64" t="s">
        <v>33</v>
      </c>
      <c r="L457" s="64" t="s">
        <v>46</v>
      </c>
      <c r="M457" s="64" t="s">
        <v>723</v>
      </c>
      <c r="N457" s="64" t="s">
        <v>36</v>
      </c>
      <c r="O457" s="64"/>
      <c r="P457" s="64"/>
      <c r="Q457" s="280">
        <v>45516</v>
      </c>
      <c r="R457" s="280">
        <f>Q457+3</f>
        <v>45519</v>
      </c>
      <c r="S457" s="67"/>
      <c r="T457" s="67"/>
      <c r="U457" s="98"/>
      <c r="V457" s="98"/>
      <c r="W457" s="68" t="s">
        <v>1779</v>
      </c>
      <c r="X457" s="64"/>
    </row>
    <row r="458" spans="1:24" ht="72" customHeight="1">
      <c r="A458" s="295" t="s">
        <v>1424</v>
      </c>
      <c r="B458" s="64" t="s">
        <v>48</v>
      </c>
      <c r="C458" s="65">
        <v>1</v>
      </c>
      <c r="D458" s="65" t="s">
        <v>920</v>
      </c>
      <c r="E458" s="65"/>
      <c r="F458" s="65" t="s">
        <v>32</v>
      </c>
      <c r="G458" s="64" t="s">
        <v>454</v>
      </c>
      <c r="H458" s="66" t="s">
        <v>1780</v>
      </c>
      <c r="I458" s="66">
        <v>45</v>
      </c>
      <c r="J458" s="64" t="s">
        <v>32</v>
      </c>
      <c r="K458" s="64" t="s">
        <v>33</v>
      </c>
      <c r="L458" s="64" t="s">
        <v>71</v>
      </c>
      <c r="M458" s="64" t="s">
        <v>924</v>
      </c>
      <c r="N458" s="64" t="s">
        <v>36</v>
      </c>
      <c r="O458" s="64"/>
      <c r="P458" s="64"/>
      <c r="Q458" s="280">
        <v>45859</v>
      </c>
      <c r="R458" s="280">
        <f>Q458+15</f>
        <v>45874</v>
      </c>
      <c r="S458" s="67" t="s">
        <v>37</v>
      </c>
      <c r="T458" s="67"/>
      <c r="U458" s="98"/>
      <c r="V458" s="98"/>
      <c r="W458" s="68" t="s">
        <v>1781</v>
      </c>
      <c r="X458" s="64" t="s">
        <v>74</v>
      </c>
    </row>
    <row r="459" spans="1:24" ht="48" customHeight="1">
      <c r="A459" s="68" t="s">
        <v>1782</v>
      </c>
      <c r="B459" s="64" t="s">
        <v>144</v>
      </c>
      <c r="C459" s="65">
        <v>1</v>
      </c>
      <c r="D459" s="65"/>
      <c r="E459" s="65"/>
      <c r="F459" s="65"/>
      <c r="G459" s="64"/>
      <c r="H459" s="71" t="s">
        <v>1783</v>
      </c>
      <c r="I459" s="71"/>
      <c r="J459" s="64" t="s">
        <v>32</v>
      </c>
      <c r="K459" s="64"/>
      <c r="L459" s="64" t="s">
        <v>1784</v>
      </c>
      <c r="M459" s="64"/>
      <c r="N459" s="64"/>
      <c r="O459" s="72"/>
      <c r="P459" s="72"/>
      <c r="Q459" s="280">
        <v>45754</v>
      </c>
      <c r="R459" s="280"/>
      <c r="S459" s="67"/>
      <c r="T459" s="67"/>
      <c r="U459" s="98"/>
      <c r="V459" s="98"/>
      <c r="W459" s="68" t="s">
        <v>1785</v>
      </c>
      <c r="X459" s="64"/>
    </row>
    <row r="460" spans="1:24" ht="23.1" customHeight="1">
      <c r="A460" s="68" t="s">
        <v>1786</v>
      </c>
      <c r="B460" s="64" t="s">
        <v>144</v>
      </c>
      <c r="C460" s="65">
        <v>1</v>
      </c>
      <c r="D460" s="65"/>
      <c r="E460" s="65"/>
      <c r="F460" s="65"/>
      <c r="G460" s="64" t="s">
        <v>1787</v>
      </c>
      <c r="H460" s="64" t="s">
        <v>1788</v>
      </c>
      <c r="I460" s="64"/>
      <c r="J460" s="64" t="s">
        <v>61</v>
      </c>
      <c r="K460" s="64" t="s">
        <v>33</v>
      </c>
      <c r="L460" s="64" t="s">
        <v>34</v>
      </c>
      <c r="M460" s="64" t="s">
        <v>1789</v>
      </c>
      <c r="N460" s="64" t="s">
        <v>64</v>
      </c>
      <c r="O460" s="64"/>
      <c r="P460" s="64"/>
      <c r="Q460" s="280">
        <v>45532</v>
      </c>
      <c r="R460" s="280"/>
      <c r="S460" s="67"/>
      <c r="T460" s="67"/>
      <c r="U460" s="98"/>
      <c r="V460" s="98"/>
      <c r="W460" s="68" t="s">
        <v>1692</v>
      </c>
      <c r="X460" s="64"/>
    </row>
    <row r="461" spans="1:24" ht="24" customHeight="1">
      <c r="A461" s="68" t="s">
        <v>1790</v>
      </c>
      <c r="B461" s="78" t="s">
        <v>144</v>
      </c>
      <c r="C461" s="65">
        <v>1</v>
      </c>
      <c r="D461" s="65"/>
      <c r="E461" s="65"/>
      <c r="F461" s="65" t="s">
        <v>416</v>
      </c>
      <c r="G461" s="64"/>
      <c r="H461" s="64" t="s">
        <v>1791</v>
      </c>
      <c r="I461" s="64"/>
      <c r="J461" s="64" t="s">
        <v>32</v>
      </c>
      <c r="K461" s="64" t="s">
        <v>33</v>
      </c>
      <c r="L461" s="64" t="s">
        <v>46</v>
      </c>
      <c r="M461" s="64"/>
      <c r="N461" s="64"/>
      <c r="O461" s="64"/>
      <c r="P461" s="64"/>
      <c r="Q461" s="280"/>
      <c r="R461" s="280"/>
      <c r="S461" s="88"/>
      <c r="T461" s="88"/>
      <c r="U461" s="292"/>
      <c r="V461" s="292"/>
      <c r="W461" s="68" t="s">
        <v>1792</v>
      </c>
      <c r="X461" s="64"/>
    </row>
    <row r="462" spans="1:24" ht="24" customHeight="1">
      <c r="A462" s="68" t="s">
        <v>1793</v>
      </c>
      <c r="B462" s="64" t="s">
        <v>199</v>
      </c>
      <c r="C462" s="65">
        <v>1</v>
      </c>
      <c r="D462" s="65"/>
      <c r="E462" s="65"/>
      <c r="F462" s="65"/>
      <c r="G462" s="64" t="s">
        <v>1794</v>
      </c>
      <c r="H462" s="64" t="s">
        <v>1795</v>
      </c>
      <c r="I462" s="64"/>
      <c r="J462" s="64" t="s">
        <v>77</v>
      </c>
      <c r="K462" s="64" t="s">
        <v>311</v>
      </c>
      <c r="L462" s="64" t="s">
        <v>1796</v>
      </c>
      <c r="M462" s="64" t="s">
        <v>134</v>
      </c>
      <c r="N462" s="64" t="s">
        <v>64</v>
      </c>
      <c r="O462" s="64"/>
      <c r="P462" s="64"/>
      <c r="Q462" s="280">
        <v>45412</v>
      </c>
      <c r="R462" s="280"/>
      <c r="S462" s="67"/>
      <c r="T462" s="67"/>
      <c r="U462" s="98"/>
      <c r="V462" s="98"/>
      <c r="W462" s="68" t="s">
        <v>1797</v>
      </c>
      <c r="X462" s="79"/>
    </row>
    <row r="463" spans="1:24" ht="24" customHeight="1">
      <c r="A463" s="68" t="s">
        <v>1798</v>
      </c>
      <c r="B463" s="64" t="s">
        <v>144</v>
      </c>
      <c r="C463" s="65">
        <v>1</v>
      </c>
      <c r="D463" s="65"/>
      <c r="E463" s="65"/>
      <c r="F463" s="65"/>
      <c r="G463" s="64" t="s">
        <v>1799</v>
      </c>
      <c r="H463" s="64" t="s">
        <v>1800</v>
      </c>
      <c r="I463" s="64"/>
      <c r="J463" s="64" t="s">
        <v>32</v>
      </c>
      <c r="K463" s="64" t="s">
        <v>33</v>
      </c>
      <c r="L463" s="64" t="s">
        <v>34</v>
      </c>
      <c r="M463" s="64" t="s">
        <v>35</v>
      </c>
      <c r="N463" s="64" t="s">
        <v>64</v>
      </c>
      <c r="O463" s="64"/>
      <c r="P463" s="64"/>
      <c r="Q463" s="280">
        <v>45734</v>
      </c>
      <c r="R463" s="280"/>
      <c r="S463" s="67"/>
      <c r="T463" s="67"/>
      <c r="U463" s="98"/>
      <c r="V463" s="98"/>
      <c r="W463" s="68" t="s">
        <v>1801</v>
      </c>
      <c r="X463" s="79"/>
    </row>
    <row r="464" spans="1:24" ht="38.1" customHeight="1">
      <c r="A464" s="68" t="s">
        <v>1802</v>
      </c>
      <c r="B464" s="64" t="s">
        <v>137</v>
      </c>
      <c r="C464" s="65">
        <v>0</v>
      </c>
      <c r="D464" s="65" t="s">
        <v>153</v>
      </c>
      <c r="E464" s="65"/>
      <c r="F464" s="65"/>
      <c r="G464" s="64"/>
      <c r="H464" s="66" t="s">
        <v>691</v>
      </c>
      <c r="I464" s="66"/>
      <c r="J464" s="64" t="s">
        <v>32</v>
      </c>
      <c r="K464" s="64" t="s">
        <v>33</v>
      </c>
      <c r="L464" s="64" t="s">
        <v>80</v>
      </c>
      <c r="M464" s="64"/>
      <c r="N464" s="64"/>
      <c r="O464" s="64"/>
      <c r="P464" s="64"/>
      <c r="Q464" s="280">
        <v>45910</v>
      </c>
      <c r="R464" s="280">
        <v>45950</v>
      </c>
      <c r="S464" s="67"/>
      <c r="T464" s="67"/>
      <c r="U464" s="98">
        <v>84000</v>
      </c>
      <c r="V464" s="98"/>
      <c r="W464" s="68" t="s">
        <v>1803</v>
      </c>
      <c r="X464" s="64"/>
    </row>
    <row r="465" spans="1:24" ht="409.5" customHeight="1">
      <c r="A465" s="68" t="s">
        <v>1804</v>
      </c>
      <c r="B465" s="64" t="s">
        <v>144</v>
      </c>
      <c r="C465" s="65">
        <v>0</v>
      </c>
      <c r="D465" s="65"/>
      <c r="E465" s="65" t="s">
        <v>252</v>
      </c>
      <c r="F465" s="65"/>
      <c r="G465" s="64" t="s">
        <v>183</v>
      </c>
      <c r="H465" s="64" t="s">
        <v>255</v>
      </c>
      <c r="I465" s="64"/>
      <c r="J465" s="64" t="s">
        <v>32</v>
      </c>
      <c r="K465" s="64" t="s">
        <v>33</v>
      </c>
      <c r="L465" s="64" t="s">
        <v>46</v>
      </c>
      <c r="M465" s="64"/>
      <c r="N465" s="64"/>
      <c r="O465" s="64"/>
      <c r="P465" s="64"/>
      <c r="Q465" s="280">
        <v>45747</v>
      </c>
      <c r="R465" s="280">
        <f>Q465+7</f>
        <v>45754</v>
      </c>
      <c r="S465" s="75"/>
      <c r="T465" s="75"/>
      <c r="U465" s="284"/>
      <c r="V465" s="284"/>
      <c r="W465" s="68" t="s">
        <v>1805</v>
      </c>
      <c r="X465" s="64"/>
    </row>
    <row r="466" spans="1:24" ht="228" customHeight="1">
      <c r="A466" s="68" t="s">
        <v>1806</v>
      </c>
      <c r="B466" s="64" t="s">
        <v>137</v>
      </c>
      <c r="C466" s="65">
        <v>0</v>
      </c>
      <c r="D466" s="65" t="s">
        <v>28</v>
      </c>
      <c r="E466" s="65"/>
      <c r="F466" s="65" t="s">
        <v>32</v>
      </c>
      <c r="G466" s="64" t="s">
        <v>82</v>
      </c>
      <c r="H466" s="64" t="s">
        <v>1807</v>
      </c>
      <c r="I466" s="64"/>
      <c r="J466" s="64" t="s">
        <v>32</v>
      </c>
      <c r="K466" s="64" t="s">
        <v>311</v>
      </c>
      <c r="L466" s="64" t="s">
        <v>1808</v>
      </c>
      <c r="M466" s="64"/>
      <c r="N466" s="64"/>
      <c r="O466" s="64"/>
      <c r="P466" s="64"/>
      <c r="Q466" s="280">
        <v>45777</v>
      </c>
      <c r="R466" s="280"/>
      <c r="S466" s="75"/>
      <c r="T466" s="75"/>
      <c r="U466" s="284"/>
      <c r="V466" s="284"/>
      <c r="W466" s="68" t="s">
        <v>1809</v>
      </c>
      <c r="X466" s="64"/>
    </row>
    <row r="467" spans="1:24" ht="18" customHeight="1">
      <c r="A467" s="68" t="s">
        <v>1686</v>
      </c>
      <c r="B467" s="64" t="s">
        <v>144</v>
      </c>
      <c r="C467" s="65">
        <v>0</v>
      </c>
      <c r="D467" s="65" t="s">
        <v>502</v>
      </c>
      <c r="E467" s="65"/>
      <c r="F467" s="65" t="s">
        <v>32</v>
      </c>
      <c r="G467" s="64"/>
      <c r="H467" s="64" t="s">
        <v>1810</v>
      </c>
      <c r="I467" s="64"/>
      <c r="J467" s="64" t="s">
        <v>32</v>
      </c>
      <c r="K467" s="64" t="s">
        <v>33</v>
      </c>
      <c r="L467" s="64"/>
      <c r="M467" s="64"/>
      <c r="N467" s="64"/>
      <c r="O467" s="64"/>
      <c r="P467" s="64"/>
      <c r="Q467" s="280">
        <v>45670</v>
      </c>
      <c r="R467" s="280"/>
      <c r="S467" s="75"/>
      <c r="T467" s="75"/>
      <c r="U467" s="284"/>
      <c r="V467" s="284"/>
      <c r="W467" s="68" t="s">
        <v>1811</v>
      </c>
      <c r="X467" s="64"/>
    </row>
    <row r="468" spans="1:24" ht="24" customHeight="1">
      <c r="A468" s="68" t="s">
        <v>1812</v>
      </c>
      <c r="B468" s="64" t="s">
        <v>144</v>
      </c>
      <c r="C468" s="65"/>
      <c r="D468" s="65" t="s">
        <v>189</v>
      </c>
      <c r="E468" s="65"/>
      <c r="F468" s="65" t="s">
        <v>448</v>
      </c>
      <c r="G468" s="64" t="s">
        <v>1813</v>
      </c>
      <c r="H468" s="66" t="s">
        <v>280</v>
      </c>
      <c r="I468" s="66"/>
      <c r="J468" s="64" t="s">
        <v>32</v>
      </c>
      <c r="K468" s="64" t="s">
        <v>133</v>
      </c>
      <c r="L468" s="64" t="s">
        <v>111</v>
      </c>
      <c r="M468" s="64"/>
      <c r="N468" s="64"/>
      <c r="O468" s="64"/>
      <c r="P468" s="64"/>
      <c r="Q468" s="280">
        <v>45973</v>
      </c>
      <c r="R468" s="280">
        <f>Q468+7</f>
        <v>45980</v>
      </c>
      <c r="S468" s="67"/>
      <c r="T468" s="67"/>
      <c r="U468" s="98"/>
      <c r="V468" s="98"/>
      <c r="W468" s="68" t="s">
        <v>1814</v>
      </c>
      <c r="X468" s="64"/>
    </row>
    <row r="469" spans="1:24" ht="24" customHeight="1">
      <c r="A469" s="68" t="s">
        <v>1815</v>
      </c>
      <c r="B469" s="64" t="s">
        <v>144</v>
      </c>
      <c r="C469" s="65"/>
      <c r="D469" s="65" t="s">
        <v>288</v>
      </c>
      <c r="E469" s="65"/>
      <c r="F469" s="65" t="s">
        <v>300</v>
      </c>
      <c r="G469" s="64" t="s">
        <v>248</v>
      </c>
      <c r="H469" s="66" t="s">
        <v>244</v>
      </c>
      <c r="I469" s="66"/>
      <c r="J469" s="64" t="s">
        <v>32</v>
      </c>
      <c r="K469" s="64" t="s">
        <v>224</v>
      </c>
      <c r="L469" s="64" t="s">
        <v>111</v>
      </c>
      <c r="M469" s="64"/>
      <c r="N469" s="64"/>
      <c r="O469" s="64"/>
      <c r="P469" s="64"/>
      <c r="Q469" s="280">
        <v>45812</v>
      </c>
      <c r="R469" s="280">
        <f>Q469+13</f>
        <v>45825</v>
      </c>
      <c r="S469" s="67"/>
      <c r="T469" s="67"/>
      <c r="U469" s="98"/>
      <c r="V469" s="98"/>
      <c r="W469" s="166" t="s">
        <v>1816</v>
      </c>
      <c r="X469" s="64"/>
    </row>
    <row r="470" spans="1:24" ht="24" customHeight="1">
      <c r="A470" s="68" t="s">
        <v>1817</v>
      </c>
      <c r="B470" s="64" t="s">
        <v>199</v>
      </c>
      <c r="C470" s="65"/>
      <c r="D470" s="65" t="s">
        <v>76</v>
      </c>
      <c r="E470" s="65"/>
      <c r="F470" s="65" t="s">
        <v>1206</v>
      </c>
      <c r="G470" s="64"/>
      <c r="H470" s="64" t="s">
        <v>566</v>
      </c>
      <c r="I470" s="64"/>
      <c r="J470" s="64" t="s">
        <v>32</v>
      </c>
      <c r="K470" s="64" t="s">
        <v>311</v>
      </c>
      <c r="L470" s="64" t="s">
        <v>80</v>
      </c>
      <c r="M470" s="79"/>
      <c r="N470" s="79"/>
      <c r="O470" s="79"/>
      <c r="P470" s="79"/>
      <c r="Q470" s="280">
        <v>45859</v>
      </c>
      <c r="R470" s="280">
        <f>Q470+14</f>
        <v>45873</v>
      </c>
      <c r="S470" s="67" t="s">
        <v>37</v>
      </c>
      <c r="T470" s="67"/>
      <c r="U470" s="98"/>
      <c r="V470" s="98"/>
      <c r="W470" s="68" t="s">
        <v>1818</v>
      </c>
      <c r="X470" s="64"/>
    </row>
    <row r="471" spans="1:24" ht="24" customHeight="1">
      <c r="A471" s="83"/>
      <c r="B471" s="64"/>
      <c r="C471" s="65"/>
      <c r="D471" s="65"/>
      <c r="E471" s="65" t="s">
        <v>1819</v>
      </c>
      <c r="F471" s="65"/>
      <c r="G471" s="79"/>
      <c r="H471" s="79" t="s">
        <v>1820</v>
      </c>
      <c r="I471" s="79"/>
      <c r="J471" s="79"/>
      <c r="K471" s="79"/>
      <c r="L471" s="79"/>
      <c r="M471" s="79"/>
      <c r="N471" s="79"/>
      <c r="O471" s="79"/>
      <c r="P471" s="79"/>
      <c r="Q471" s="280"/>
      <c r="R471" s="280"/>
      <c r="S471" s="82"/>
      <c r="T471" s="82"/>
      <c r="U471" s="285"/>
      <c r="V471" s="285"/>
      <c r="W471" s="83" t="s">
        <v>1821</v>
      </c>
      <c r="X471" s="79"/>
    </row>
    <row r="472" spans="1:24" ht="48" customHeight="1">
      <c r="A472" s="83"/>
      <c r="B472" s="64"/>
      <c r="C472" s="65"/>
      <c r="D472" s="65"/>
      <c r="E472" s="65" t="s">
        <v>1822</v>
      </c>
      <c r="F472" s="65"/>
      <c r="G472" s="64"/>
      <c r="H472" s="64" t="s">
        <v>1823</v>
      </c>
      <c r="I472" s="64"/>
      <c r="J472" s="64"/>
      <c r="K472" s="64"/>
      <c r="L472" s="64"/>
      <c r="M472" s="64"/>
      <c r="N472" s="64"/>
      <c r="O472" s="64"/>
      <c r="P472" s="64"/>
      <c r="Q472" s="280"/>
      <c r="R472" s="280"/>
      <c r="S472" s="67"/>
      <c r="T472" s="67"/>
      <c r="U472" s="98"/>
      <c r="V472" s="98"/>
      <c r="W472" s="68" t="s">
        <v>1824</v>
      </c>
      <c r="X472" s="64"/>
    </row>
    <row r="473" spans="1:24" ht="38.1" customHeight="1">
      <c r="A473" s="254"/>
      <c r="B473" s="64"/>
      <c r="C473" s="65"/>
      <c r="D473" s="65"/>
      <c r="E473" s="65" t="s">
        <v>1825</v>
      </c>
      <c r="F473" s="65"/>
      <c r="G473" s="64"/>
      <c r="H473" s="66" t="s">
        <v>1826</v>
      </c>
      <c r="I473" s="66"/>
      <c r="J473" s="64" t="s">
        <v>32</v>
      </c>
      <c r="K473" s="64"/>
      <c r="L473" s="64"/>
      <c r="M473" s="64"/>
      <c r="N473" s="64"/>
      <c r="O473" s="72"/>
      <c r="P473" s="72"/>
      <c r="Q473" s="280"/>
      <c r="R473" s="280"/>
      <c r="S473" s="67"/>
      <c r="T473" s="67"/>
      <c r="U473" s="98"/>
      <c r="V473" s="98"/>
      <c r="W473" s="68" t="s">
        <v>1827</v>
      </c>
      <c r="X473" s="74"/>
    </row>
    <row r="474" spans="1:24" ht="18.95">
      <c r="A474" s="253" t="s">
        <v>1828</v>
      </c>
      <c r="B474" s="64" t="s">
        <v>144</v>
      </c>
      <c r="C474" s="65"/>
      <c r="D474" s="65"/>
      <c r="E474" s="65" t="s">
        <v>1829</v>
      </c>
      <c r="F474" s="65"/>
      <c r="G474" s="64"/>
      <c r="H474" s="66" t="s">
        <v>1830</v>
      </c>
      <c r="I474" s="66"/>
      <c r="J474" s="64" t="s">
        <v>32</v>
      </c>
      <c r="K474" s="64"/>
      <c r="L474" s="64"/>
      <c r="M474" s="64"/>
      <c r="N474" s="64"/>
      <c r="O474" s="64"/>
      <c r="P474" s="64"/>
      <c r="Q474" s="280"/>
      <c r="R474" s="280"/>
      <c r="S474" s="67"/>
      <c r="T474" s="67"/>
      <c r="U474" s="98"/>
      <c r="V474" s="98"/>
      <c r="W474" s="68" t="s">
        <v>1831</v>
      </c>
      <c r="X474" s="64"/>
    </row>
    <row r="475" spans="1:24" ht="18" customHeight="1">
      <c r="A475" s="83"/>
      <c r="B475" s="64"/>
      <c r="C475" s="65"/>
      <c r="D475" s="65"/>
      <c r="E475" s="65" t="s">
        <v>1832</v>
      </c>
      <c r="F475" s="65"/>
      <c r="G475" s="79"/>
      <c r="H475" s="79" t="s">
        <v>1833</v>
      </c>
      <c r="I475" s="79"/>
      <c r="J475" s="79"/>
      <c r="K475" s="79"/>
      <c r="L475" s="79"/>
      <c r="M475" s="79"/>
      <c r="N475" s="79"/>
      <c r="O475" s="79"/>
      <c r="P475" s="79"/>
      <c r="Q475" s="280"/>
      <c r="R475" s="280"/>
      <c r="S475" s="82"/>
      <c r="T475" s="82"/>
      <c r="U475" s="285"/>
      <c r="V475" s="285"/>
      <c r="W475" s="83" t="s">
        <v>1834</v>
      </c>
      <c r="X475" s="79"/>
    </row>
    <row r="476" spans="1:24" ht="57" customHeight="1">
      <c r="A476" s="83"/>
      <c r="B476" s="64"/>
      <c r="C476" s="65"/>
      <c r="D476" s="65"/>
      <c r="E476" s="65" t="s">
        <v>1835</v>
      </c>
      <c r="F476" s="65"/>
      <c r="G476" s="79"/>
      <c r="H476" s="79" t="s">
        <v>1836</v>
      </c>
      <c r="I476" s="79"/>
      <c r="J476" s="79"/>
      <c r="K476" s="79"/>
      <c r="L476" s="79"/>
      <c r="M476" s="79"/>
      <c r="N476" s="79"/>
      <c r="O476" s="79"/>
      <c r="P476" s="79"/>
      <c r="Q476" s="280"/>
      <c r="R476" s="280"/>
      <c r="S476" s="82"/>
      <c r="T476" s="82"/>
      <c r="U476" s="285"/>
      <c r="V476" s="285"/>
      <c r="W476" s="83" t="s">
        <v>1837</v>
      </c>
      <c r="X476" s="64"/>
    </row>
    <row r="477" spans="1:24" ht="57" customHeight="1">
      <c r="A477" s="83"/>
      <c r="B477" s="64"/>
      <c r="C477" s="65"/>
      <c r="D477" s="65"/>
      <c r="E477" s="65" t="s">
        <v>1838</v>
      </c>
      <c r="F477" s="65"/>
      <c r="G477" s="79"/>
      <c r="H477" s="79" t="s">
        <v>668</v>
      </c>
      <c r="I477" s="79"/>
      <c r="J477" s="79"/>
      <c r="K477" s="79"/>
      <c r="L477" s="79"/>
      <c r="M477" s="79"/>
      <c r="N477" s="79"/>
      <c r="O477" s="79"/>
      <c r="P477" s="79"/>
      <c r="Q477" s="280"/>
      <c r="R477" s="280"/>
      <c r="S477" s="82"/>
      <c r="T477" s="82"/>
      <c r="U477" s="285"/>
      <c r="V477" s="285"/>
      <c r="W477" s="83" t="s">
        <v>1839</v>
      </c>
      <c r="X477" s="64"/>
    </row>
    <row r="478" spans="1:24" ht="18" customHeight="1">
      <c r="A478" s="252"/>
      <c r="B478" s="64"/>
      <c r="C478" s="65"/>
      <c r="D478" s="65"/>
      <c r="E478" s="65" t="s">
        <v>1840</v>
      </c>
      <c r="F478" s="65"/>
      <c r="G478" s="64"/>
      <c r="H478" s="64" t="s">
        <v>1841</v>
      </c>
      <c r="I478" s="64"/>
      <c r="J478" s="64"/>
      <c r="K478" s="64"/>
      <c r="L478" s="64"/>
      <c r="M478" s="64"/>
      <c r="N478" s="64"/>
      <c r="O478" s="64"/>
      <c r="P478" s="64"/>
      <c r="Q478" s="280"/>
      <c r="R478" s="280"/>
      <c r="S478" s="67"/>
      <c r="T478" s="67"/>
      <c r="U478" s="98"/>
      <c r="V478" s="98"/>
      <c r="W478" s="68" t="s">
        <v>1842</v>
      </c>
      <c r="X478" s="64"/>
    </row>
    <row r="479" spans="1:24" ht="23.1" customHeight="1">
      <c r="A479" s="83"/>
      <c r="B479" s="64"/>
      <c r="C479" s="65"/>
      <c r="D479" s="65"/>
      <c r="E479" s="65" t="s">
        <v>1843</v>
      </c>
      <c r="F479" s="65"/>
      <c r="G479" s="79"/>
      <c r="H479" s="79" t="s">
        <v>1844</v>
      </c>
      <c r="I479" s="79"/>
      <c r="J479" s="79"/>
      <c r="K479" s="79"/>
      <c r="L479" s="79"/>
      <c r="M479" s="79"/>
      <c r="N479" s="79"/>
      <c r="O479" s="79"/>
      <c r="P479" s="79"/>
      <c r="Q479" s="280"/>
      <c r="R479" s="280"/>
      <c r="S479" s="82"/>
      <c r="T479" s="82"/>
      <c r="U479" s="285"/>
      <c r="V479" s="285"/>
      <c r="W479" s="83" t="s">
        <v>1845</v>
      </c>
      <c r="X479" s="79"/>
    </row>
    <row r="480" spans="1:24" ht="384" customHeight="1">
      <c r="A480" s="68"/>
      <c r="B480" s="64"/>
      <c r="C480" s="65"/>
      <c r="D480" s="65"/>
      <c r="E480" s="65" t="s">
        <v>1846</v>
      </c>
      <c r="F480" s="65"/>
      <c r="G480" s="64"/>
      <c r="H480" s="66" t="s">
        <v>1847</v>
      </c>
      <c r="I480" s="66"/>
      <c r="J480" s="64"/>
      <c r="K480" s="64"/>
      <c r="L480" s="64"/>
      <c r="M480" s="64"/>
      <c r="N480" s="64"/>
      <c r="O480" s="64"/>
      <c r="P480" s="72"/>
      <c r="Q480" s="280"/>
      <c r="R480" s="280"/>
      <c r="S480" s="67"/>
      <c r="T480" s="67"/>
      <c r="U480" s="98"/>
      <c r="V480" s="98"/>
      <c r="W480" s="68"/>
      <c r="X480" s="64"/>
    </row>
    <row r="481" spans="1:24" ht="75.95" customHeight="1">
      <c r="A481" s="252"/>
      <c r="B481" s="64"/>
      <c r="C481" s="65"/>
      <c r="D481" s="65"/>
      <c r="E481" s="65" t="s">
        <v>1848</v>
      </c>
      <c r="F481" s="65"/>
      <c r="G481" s="64"/>
      <c r="H481" s="64" t="s">
        <v>1849</v>
      </c>
      <c r="I481" s="64"/>
      <c r="J481" s="64"/>
      <c r="K481" s="64"/>
      <c r="L481" s="64"/>
      <c r="M481" s="64"/>
      <c r="N481" s="64"/>
      <c r="O481" s="64"/>
      <c r="P481" s="64"/>
      <c r="Q481" s="280"/>
      <c r="R481" s="280"/>
      <c r="S481" s="67"/>
      <c r="T481" s="67"/>
      <c r="U481" s="98"/>
      <c r="V481" s="98"/>
      <c r="W481" s="68" t="s">
        <v>1850</v>
      </c>
      <c r="X481" s="64"/>
    </row>
    <row r="482" spans="1:24" ht="18.95" customHeight="1">
      <c r="A482" s="252"/>
      <c r="B482" s="64"/>
      <c r="C482" s="65"/>
      <c r="D482" s="65"/>
      <c r="E482" s="65" t="s">
        <v>1851</v>
      </c>
      <c r="F482" s="65"/>
      <c r="G482" s="64"/>
      <c r="H482" s="64" t="s">
        <v>1852</v>
      </c>
      <c r="I482" s="64"/>
      <c r="J482" s="64"/>
      <c r="K482" s="64"/>
      <c r="L482" s="64"/>
      <c r="M482" s="64"/>
      <c r="N482" s="64"/>
      <c r="O482" s="64"/>
      <c r="P482" s="64"/>
      <c r="Q482" s="280"/>
      <c r="R482" s="280"/>
      <c r="S482" s="67"/>
      <c r="T482" s="67"/>
      <c r="U482" s="98"/>
      <c r="V482" s="98"/>
      <c r="W482" s="68"/>
      <c r="X482" s="64"/>
    </row>
    <row r="483" spans="1:24" ht="38.1" customHeight="1">
      <c r="A483" s="68"/>
      <c r="B483" s="64"/>
      <c r="C483" s="65"/>
      <c r="D483" s="65"/>
      <c r="E483" s="65" t="s">
        <v>1853</v>
      </c>
      <c r="F483" s="65"/>
      <c r="G483" s="64"/>
      <c r="H483" s="64"/>
      <c r="I483" s="64"/>
      <c r="J483" s="64"/>
      <c r="K483" s="64"/>
      <c r="L483" s="79"/>
      <c r="M483" s="79"/>
      <c r="N483" s="79"/>
      <c r="O483" s="79"/>
      <c r="P483" s="79"/>
      <c r="Q483" s="280"/>
      <c r="R483" s="280"/>
      <c r="S483" s="67"/>
      <c r="T483" s="67"/>
      <c r="U483" s="98"/>
      <c r="V483" s="98"/>
      <c r="W483" s="68"/>
      <c r="X483" s="64"/>
    </row>
    <row r="484" spans="1:24" s="69" customFormat="1" ht="18.95">
      <c r="A484" s="252"/>
      <c r="B484" s="64"/>
      <c r="C484" s="65"/>
      <c r="D484" s="65"/>
      <c r="E484" s="65" t="s">
        <v>1854</v>
      </c>
      <c r="F484" s="65"/>
      <c r="G484" s="64"/>
      <c r="H484" s="64" t="s">
        <v>1855</v>
      </c>
      <c r="I484" s="64"/>
      <c r="J484" s="64"/>
      <c r="K484" s="64"/>
      <c r="L484" s="64"/>
      <c r="M484" s="64"/>
      <c r="N484" s="64"/>
      <c r="O484" s="64"/>
      <c r="P484" s="64"/>
      <c r="Q484" s="280"/>
      <c r="R484" s="280"/>
      <c r="S484" s="67"/>
      <c r="T484" s="67"/>
      <c r="U484" s="98"/>
      <c r="V484" s="98"/>
      <c r="W484" s="68" t="s">
        <v>1856</v>
      </c>
      <c r="X484" s="64"/>
    </row>
    <row r="485" spans="1:24" s="69" customFormat="1" ht="81" customHeight="1">
      <c r="A485" s="68"/>
      <c r="B485" s="64"/>
      <c r="C485" s="65"/>
      <c r="D485" s="65"/>
      <c r="E485" s="65" t="s">
        <v>1857</v>
      </c>
      <c r="F485" s="65"/>
      <c r="G485" s="64"/>
      <c r="H485" s="64" t="s">
        <v>1177</v>
      </c>
      <c r="I485" s="64"/>
      <c r="J485" s="64"/>
      <c r="K485" s="64"/>
      <c r="L485" s="64"/>
      <c r="M485" s="64"/>
      <c r="N485" s="64"/>
      <c r="O485" s="64"/>
      <c r="P485" s="64"/>
      <c r="Q485" s="280"/>
      <c r="R485" s="280"/>
      <c r="S485" s="75"/>
      <c r="T485" s="75"/>
      <c r="U485" s="284"/>
      <c r="V485" s="284"/>
      <c r="W485" s="68" t="s">
        <v>1858</v>
      </c>
      <c r="X485" s="64"/>
    </row>
    <row r="486" spans="1:24" ht="30" customHeight="1">
      <c r="A486" s="256" t="s">
        <v>1859</v>
      </c>
      <c r="B486" s="62" t="s">
        <v>144</v>
      </c>
      <c r="F486" s="89" t="s">
        <v>300</v>
      </c>
      <c r="G486" s="69"/>
      <c r="H486" s="69" t="s">
        <v>1860</v>
      </c>
      <c r="I486" s="69"/>
      <c r="J486" s="69" t="s">
        <v>32</v>
      </c>
      <c r="K486" s="69"/>
      <c r="Q486" s="280"/>
      <c r="R486" s="280"/>
      <c r="S486" s="220"/>
      <c r="T486" s="220"/>
      <c r="U486" s="293"/>
      <c r="V486" s="293"/>
      <c r="W486" s="221" t="s">
        <v>1861</v>
      </c>
      <c r="X486" s="69"/>
    </row>
    <row r="487" spans="1:24" ht="18" customHeight="1">
      <c r="A487" s="256" t="s">
        <v>1862</v>
      </c>
      <c r="B487" s="62" t="s">
        <v>144</v>
      </c>
      <c r="F487" s="89" t="s">
        <v>300</v>
      </c>
      <c r="G487" s="69" t="s">
        <v>1863</v>
      </c>
      <c r="H487" s="69" t="s">
        <v>1864</v>
      </c>
      <c r="I487" s="69"/>
      <c r="J487" s="69" t="s">
        <v>32</v>
      </c>
      <c r="K487" s="69"/>
      <c r="Q487" s="280"/>
      <c r="R487" s="280"/>
      <c r="S487" s="220"/>
      <c r="T487" s="220"/>
      <c r="U487" s="293"/>
      <c r="V487" s="293"/>
      <c r="W487" s="221" t="s">
        <v>1865</v>
      </c>
      <c r="X487" s="69"/>
    </row>
    <row r="488" spans="1:24" ht="56.1" customHeight="1">
      <c r="H488" s="95"/>
      <c r="I488" s="95"/>
      <c r="L488" s="62"/>
      <c r="M488" s="62"/>
      <c r="N488" s="62"/>
      <c r="O488" s="96"/>
      <c r="P488" s="96"/>
      <c r="Q488" s="280"/>
      <c r="R488" s="280"/>
    </row>
    <row r="489" spans="1:24" ht="21" customHeight="1">
      <c r="Q489" s="280"/>
      <c r="R489" s="280"/>
    </row>
    <row r="490" spans="1:24">
      <c r="Q490" s="280"/>
      <c r="R490" s="280"/>
    </row>
    <row r="491" spans="1:24">
      <c r="Q491" s="280"/>
      <c r="R491" s="280"/>
    </row>
    <row r="492" spans="1:24">
      <c r="Q492" s="280"/>
      <c r="R492" s="280"/>
    </row>
    <row r="493" spans="1:24">
      <c r="Q493" s="280"/>
      <c r="R493" s="280"/>
    </row>
    <row r="494" spans="1:24">
      <c r="Q494" s="280"/>
      <c r="R494" s="280"/>
    </row>
    <row r="495" spans="1:24">
      <c r="Q495" s="280"/>
      <c r="R495" s="280"/>
    </row>
    <row r="496" spans="1:24">
      <c r="Q496" s="280"/>
      <c r="R496" s="280"/>
    </row>
    <row r="497" spans="17:18">
      <c r="Q497" s="280"/>
      <c r="R497" s="280"/>
    </row>
    <row r="498" spans="17:18">
      <c r="Q498" s="280"/>
      <c r="R498" s="280"/>
    </row>
    <row r="499" spans="17:18">
      <c r="Q499" s="280"/>
      <c r="R499" s="280"/>
    </row>
    <row r="500" spans="17:18">
      <c r="Q500" s="280"/>
      <c r="R500" s="280"/>
    </row>
    <row r="501" spans="17:18">
      <c r="Q501" s="280"/>
      <c r="R501" s="280"/>
    </row>
    <row r="502" spans="17:18">
      <c r="Q502" s="280"/>
      <c r="R502" s="280"/>
    </row>
    <row r="503" spans="17:18">
      <c r="Q503" s="280"/>
      <c r="R503" s="280"/>
    </row>
    <row r="504" spans="17:18">
      <c r="Q504" s="280"/>
      <c r="R504" s="280"/>
    </row>
    <row r="505" spans="17:18">
      <c r="Q505" s="280"/>
      <c r="R505" s="280"/>
    </row>
    <row r="506" spans="17:18">
      <c r="Q506" s="280"/>
      <c r="R506" s="280"/>
    </row>
    <row r="507" spans="17:18">
      <c r="Q507" s="280"/>
      <c r="R507" s="280"/>
    </row>
    <row r="508" spans="17:18">
      <c r="Q508" s="280"/>
      <c r="R508" s="280"/>
    </row>
    <row r="509" spans="17:18">
      <c r="Q509" s="280"/>
      <c r="R509" s="280"/>
    </row>
    <row r="510" spans="17:18">
      <c r="Q510" s="280"/>
      <c r="R510" s="280"/>
    </row>
    <row r="511" spans="17:18">
      <c r="Q511" s="280"/>
      <c r="R511" s="280"/>
    </row>
    <row r="512" spans="17:18">
      <c r="Q512" s="280"/>
      <c r="R512" s="280"/>
    </row>
    <row r="513" spans="17:18">
      <c r="Q513" s="280"/>
      <c r="R513" s="280"/>
    </row>
    <row r="514" spans="17:18">
      <c r="Q514" s="280"/>
      <c r="R514" s="280"/>
    </row>
    <row r="515" spans="17:18">
      <c r="Q515" s="280"/>
      <c r="R515" s="280"/>
    </row>
    <row r="516" spans="17:18">
      <c r="Q516" s="280"/>
      <c r="R516" s="280"/>
    </row>
    <row r="517" spans="17:18">
      <c r="Q517" s="280"/>
      <c r="R517" s="280"/>
    </row>
    <row r="518" spans="17:18">
      <c r="Q518" s="280"/>
      <c r="R518" s="280"/>
    </row>
    <row r="519" spans="17:18">
      <c r="Q519" s="280"/>
      <c r="R519" s="280"/>
    </row>
    <row r="520" spans="17:18">
      <c r="Q520" s="280"/>
      <c r="R520" s="280"/>
    </row>
    <row r="521" spans="17:18">
      <c r="Q521" s="280"/>
      <c r="R521" s="280"/>
    </row>
    <row r="522" spans="17:18">
      <c r="Q522" s="280"/>
      <c r="R522" s="280"/>
    </row>
    <row r="523" spans="17:18">
      <c r="Q523" s="280"/>
      <c r="R523" s="280"/>
    </row>
    <row r="524" spans="17:18">
      <c r="Q524" s="280"/>
      <c r="R524" s="280"/>
    </row>
    <row r="525" spans="17:18">
      <c r="Q525" s="280"/>
      <c r="R525" s="280"/>
    </row>
    <row r="526" spans="17:18">
      <c r="Q526" s="280"/>
      <c r="R526" s="280"/>
    </row>
    <row r="527" spans="17:18">
      <c r="Q527" s="280"/>
      <c r="R527" s="280"/>
    </row>
    <row r="528" spans="17:18">
      <c r="Q528" s="280"/>
      <c r="R528" s="280"/>
    </row>
    <row r="529" spans="17:18">
      <c r="Q529" s="280"/>
      <c r="R529" s="280"/>
    </row>
    <row r="530" spans="17:18">
      <c r="Q530" s="280"/>
      <c r="R530" s="280"/>
    </row>
    <row r="531" spans="17:18">
      <c r="Q531" s="280"/>
      <c r="R531" s="280"/>
    </row>
    <row r="532" spans="17:18">
      <c r="Q532" s="280"/>
      <c r="R532" s="280"/>
    </row>
    <row r="533" spans="17:18">
      <c r="Q533" s="280"/>
      <c r="R533" s="280"/>
    </row>
    <row r="534" spans="17:18">
      <c r="Q534" s="280"/>
      <c r="R534" s="280"/>
    </row>
    <row r="535" spans="17:18">
      <c r="Q535" s="280"/>
      <c r="R535" s="280"/>
    </row>
    <row r="536" spans="17:18">
      <c r="Q536" s="280"/>
      <c r="R536" s="280"/>
    </row>
    <row r="537" spans="17:18">
      <c r="Q537" s="280"/>
      <c r="R537" s="280"/>
    </row>
    <row r="538" spans="17:18">
      <c r="Q538" s="280"/>
      <c r="R538" s="280"/>
    </row>
    <row r="539" spans="17:18">
      <c r="Q539" s="280"/>
      <c r="R539" s="280"/>
    </row>
    <row r="540" spans="17:18">
      <c r="Q540" s="280"/>
      <c r="R540" s="280"/>
    </row>
  </sheetData>
  <autoFilter ref="A3:X489" xr:uid="{ABA3317A-E324-B04E-85A5-6079B1C72C1E}">
    <filterColumn colId="7">
      <filters>
        <filter val="Unique Group"/>
      </filters>
    </filterColumn>
    <filterColumn colId="10">
      <filters>
        <filter val="UAE"/>
      </filters>
    </filterColumn>
    <sortState xmlns:xlrd2="http://schemas.microsoft.com/office/spreadsheetml/2017/richdata2" ref="A4:X489">
      <sortCondition descending="1" ref="C3:C489"/>
    </sortState>
  </autoFilter>
  <mergeCells count="1">
    <mergeCell ref="A1:W1"/>
  </mergeCells>
  <conditionalFormatting sqref="N3:O270 N301:O360 N362:O363 N366:O378 N388:O407 N409:O1048576">
    <cfRule type="containsText" dxfId="14" priority="20" operator="containsText" text="yes">
      <formula>NOT(ISERROR(SEARCH("yes",N3)))</formula>
    </cfRule>
  </conditionalFormatting>
  <conditionalFormatting sqref="R1:V119 R130:R131 U130:V131 R170:V360 R362:V1048576">
    <cfRule type="timePeriod" dxfId="13" priority="1" timePeriod="last7Days">
      <formula>AND(TODAY()-FLOOR(R1,1)&lt;=6,FLOOR(R1,1)&lt;=TODAY())</formula>
    </cfRule>
  </conditionalFormatting>
  <conditionalFormatting sqref="S120:T134 R140:R169 U140:V169">
    <cfRule type="timePeriod" dxfId="12" priority="9" timePeriod="last7Days">
      <formula>AND(TODAY()-FLOOR(R120,1)&lt;=6,FLOOR(R120,1)&lt;=TODAY())</formula>
    </cfRule>
  </conditionalFormatting>
  <conditionalFormatting sqref="W3:W119 W140:W270 W301:W360 W362:W363 W366:W378 W388:W407 W409:W1048576">
    <cfRule type="containsText" dxfId="11" priority="17" operator="containsText" text="Customer">
      <formula>NOT(ISERROR(SEARCH("Customer",W3)))</formula>
    </cfRule>
    <cfRule type="containsText" dxfId="10" priority="18" operator="containsText" text="set up">
      <formula>NOT(ISERROR(SEARCH("set up",W3)))</formula>
    </cfRule>
    <cfRule type="containsText" dxfId="9" priority="19" operator="containsText" text="quote">
      <formula>NOT(ISERROR(SEARCH("quote",W3)))</formula>
    </cfRule>
  </conditionalFormatting>
  <conditionalFormatting sqref="W130:W131">
    <cfRule type="containsText" dxfId="8" priority="2" operator="containsText" text="Customer">
      <formula>NOT(ISERROR(SEARCH("Customer",W130)))</formula>
    </cfRule>
    <cfRule type="containsText" dxfId="7" priority="3" operator="containsText" text="set up">
      <formula>NOT(ISERROR(SEARCH("set up",W130)))</formula>
    </cfRule>
    <cfRule type="containsText" dxfId="6" priority="4" operator="containsText" text="quote">
      <formula>NOT(ISERROR(SEARCH("quote",W130)))</formula>
    </cfRule>
  </conditionalFormatting>
  <dataValidations count="1">
    <dataValidation type="list" allowBlank="1" showInputMessage="1" showErrorMessage="1" sqref="B4:B1051" xr:uid="{1B86E38B-141B-044E-B540-B58F6256415D}">
      <formula1>$AH$3:$AH$301</formula1>
    </dataValidation>
  </dataValidations>
  <hyperlinks>
    <hyperlink ref="H8" location="Frisch!A1" display="Frisch Valve" xr:uid="{6DF70E23-D64E-134A-80C7-426D27B84B96}"/>
    <hyperlink ref="H458" location="'Control Valve Solutions'!A1" display="Control Valve Solutions" xr:uid="{3810A54E-8A03-F741-93C0-1E99412421E6}"/>
    <hyperlink ref="H4" location="Ashtead!A1" display="Ashtead" xr:uid="{BBABCBE2-EAC7-5943-AF8F-91531F7524AC}"/>
    <hyperlink ref="A445" r:id="rId1" xr:uid="{3B9D225E-D1F7-9B45-A915-7658EB8724C1}"/>
    <hyperlink ref="A356" r:id="rId2" xr:uid="{F27978C0-33B7-C04B-99CF-E2D18D526E17}"/>
    <hyperlink ref="A444" r:id="rId3" xr:uid="{9B0975A0-A0A6-FC4F-8B33-C008E7879803}"/>
    <hyperlink ref="A374" r:id="rId4" xr:uid="{B3491992-544C-324D-BA0B-7D394B84DF54}"/>
    <hyperlink ref="A420" r:id="rId5" display="https://www.linkedin.com/in/dan-haywood-721a9839/overlay/about-this-profile/?lipi=urn%3Ali%3Apage%3Ad_flagship3_profile_view_base%3BhrHjJcL0QEidDuxYAwILaA%3D%3D" xr:uid="{774651A9-075B-444B-9393-2892657DB614}"/>
    <hyperlink ref="A105" r:id="rId6" xr:uid="{94448928-5379-BE42-B365-392F22A1FBE1}"/>
    <hyperlink ref="A277" r:id="rId7" display="https://www.linkedin.com/in/ingeborg-d%C3%A5rflot-b419263/" xr:uid="{3DFEF086-0440-6844-985B-3E762DDB583D}"/>
    <hyperlink ref="W152" r:id="rId8" xr:uid="{93CF3435-4AC7-CB45-B5C0-5D1E0BD7B80D}"/>
    <hyperlink ref="W297" r:id="rId9" xr:uid="{F981585A-1DBF-6942-B0F3-61680F42E84B}"/>
    <hyperlink ref="W469" r:id="rId10" xr:uid="{AC4B8607-DB3C-4346-88C2-0AA7D1AFD048}"/>
    <hyperlink ref="W486" r:id="rId11" xr:uid="{4F31FE5E-7E68-5740-A6BA-875801EEB639}"/>
    <hyperlink ref="W487" r:id="rId12" xr:uid="{30EE385A-A3AF-1A4F-B31A-B7BF7D456835}"/>
    <hyperlink ref="W84" r:id="rId13" xr:uid="{F0BEAB9D-EF75-4140-BA73-B10CC23A67A2}"/>
  </hyperlinks>
  <pageMargins left="0.7" right="0.7" top="0.75" bottom="0.75" header="0.3" footer="0.3"/>
  <pageSetup paperSize="9" orientation="portrait" horizontalDpi="0" verticalDpi="0"/>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C1FD7-C974-3C47-901D-4DDAE100B5AE}">
  <dimension ref="A1:D21"/>
  <sheetViews>
    <sheetView topLeftCell="A2" workbookViewId="0">
      <selection activeCell="C12" sqref="C6:C12"/>
    </sheetView>
  </sheetViews>
  <sheetFormatPr defaultColWidth="11" defaultRowHeight="15.95"/>
  <cols>
    <col min="1" max="1" width="35.125" bestFit="1" customWidth="1"/>
    <col min="3" max="3" width="18" customWidth="1"/>
  </cols>
  <sheetData>
    <row r="1" spans="1:3" ht="21.95">
      <c r="A1" s="321" t="s">
        <v>1866</v>
      </c>
    </row>
    <row r="4" spans="1:3">
      <c r="A4" s="322">
        <v>46036</v>
      </c>
      <c r="B4" s="322"/>
      <c r="C4" s="322">
        <v>46037</v>
      </c>
    </row>
    <row r="6" spans="1:3">
      <c r="A6">
        <v>830</v>
      </c>
      <c r="B6" t="s">
        <v>1867</v>
      </c>
      <c r="C6" s="108" t="s">
        <v>1868</v>
      </c>
    </row>
    <row r="7" spans="1:3">
      <c r="C7" t="s">
        <v>1869</v>
      </c>
    </row>
    <row r="8" spans="1:3">
      <c r="A8">
        <v>1030</v>
      </c>
      <c r="B8" t="s">
        <v>1870</v>
      </c>
    </row>
    <row r="11" spans="1:3">
      <c r="A11">
        <v>1300</v>
      </c>
      <c r="B11" t="s">
        <v>1871</v>
      </c>
    </row>
    <row r="12" spans="1:3">
      <c r="A12">
        <v>1500</v>
      </c>
      <c r="B12" t="s">
        <v>1872</v>
      </c>
    </row>
    <row r="18" spans="2:4">
      <c r="C18">
        <v>1600</v>
      </c>
      <c r="D18" t="s">
        <v>1873</v>
      </c>
    </row>
    <row r="20" spans="2:4">
      <c r="B20" t="s">
        <v>1874</v>
      </c>
    </row>
    <row r="21" spans="2:4">
      <c r="B21" s="108" t="s">
        <v>1869</v>
      </c>
      <c r="C21">
        <v>2250</v>
      </c>
      <c r="D21" t="s">
        <v>1875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26EFE-1FAE-C347-ACBA-74962A0CAED2}">
  <sheetPr filterMode="1">
    <tabColor rgb="FFFFC000"/>
  </sheetPr>
  <dimension ref="A1:F43"/>
  <sheetViews>
    <sheetView zoomScale="166" workbookViewId="0">
      <selection activeCell="B12" sqref="B12"/>
    </sheetView>
  </sheetViews>
  <sheetFormatPr defaultColWidth="11" defaultRowHeight="15.95"/>
  <cols>
    <col min="2" max="2" width="53.5" style="4" bestFit="1" customWidth="1"/>
    <col min="3" max="3" width="8.125" bestFit="1" customWidth="1"/>
    <col min="4" max="4" width="26.375" style="20" customWidth="1"/>
    <col min="5" max="5" width="9.375" bestFit="1" customWidth="1"/>
  </cols>
  <sheetData>
    <row r="1" spans="1:6" s="5" customFormat="1" ht="17.100000000000001">
      <c r="A1" s="5" t="s">
        <v>1876</v>
      </c>
      <c r="B1" s="40" t="s">
        <v>1877</v>
      </c>
      <c r="C1" s="21" t="s">
        <v>1878</v>
      </c>
      <c r="D1" s="22" t="s">
        <v>5</v>
      </c>
      <c r="E1" s="21" t="s">
        <v>1879</v>
      </c>
      <c r="F1" s="5" t="s">
        <v>4</v>
      </c>
    </row>
    <row r="2" spans="1:6" ht="17.100000000000001">
      <c r="A2" t="s">
        <v>1880</v>
      </c>
      <c r="B2" s="4" t="s">
        <v>1881</v>
      </c>
      <c r="C2" t="s">
        <v>1882</v>
      </c>
      <c r="D2" s="20">
        <v>5</v>
      </c>
    </row>
    <row r="3" spans="1:6" ht="17.100000000000001">
      <c r="A3" t="s">
        <v>28</v>
      </c>
      <c r="B3" s="4" t="s">
        <v>1883</v>
      </c>
    </row>
    <row r="4" spans="1:6">
      <c r="B4" t="s">
        <v>1884</v>
      </c>
    </row>
    <row r="5" spans="1:6">
      <c r="B5" t="s">
        <v>1885</v>
      </c>
    </row>
    <row r="6" spans="1:6">
      <c r="B6" t="s">
        <v>1886</v>
      </c>
    </row>
    <row r="7" spans="1:6" ht="17.100000000000001">
      <c r="B7" s="4" t="s">
        <v>1887</v>
      </c>
    </row>
    <row r="8" spans="1:6" ht="17.100000000000001">
      <c r="B8" s="4" t="s">
        <v>1888</v>
      </c>
      <c r="F8" s="6"/>
    </row>
    <row r="9" spans="1:6">
      <c r="B9" t="s">
        <v>1889</v>
      </c>
    </row>
    <row r="10" spans="1:6">
      <c r="B10" t="s">
        <v>1890</v>
      </c>
    </row>
    <row r="11" spans="1:6" ht="17.100000000000001">
      <c r="B11" s="4" t="s">
        <v>1891</v>
      </c>
    </row>
    <row r="12" spans="1:6" ht="17.100000000000001">
      <c r="B12" s="4" t="s">
        <v>319</v>
      </c>
    </row>
    <row r="13" spans="1:6" ht="17.100000000000001">
      <c r="B13" s="4" t="s">
        <v>1892</v>
      </c>
    </row>
    <row r="14" spans="1:6">
      <c r="E14" s="6"/>
    </row>
    <row r="16" spans="1:6">
      <c r="F16" s="6"/>
    </row>
    <row r="17" spans="2:6">
      <c r="F17" s="6"/>
    </row>
    <row r="18" spans="2:6">
      <c r="B18"/>
    </row>
    <row r="19" spans="2:6">
      <c r="B19"/>
    </row>
    <row r="20" spans="2:6">
      <c r="B20"/>
    </row>
    <row r="22" spans="2:6">
      <c r="F22" s="6"/>
    </row>
    <row r="23" spans="2:6">
      <c r="B23"/>
    </row>
    <row r="24" spans="2:6">
      <c r="B24"/>
    </row>
    <row r="25" spans="2:6">
      <c r="B25"/>
    </row>
    <row r="26" spans="2:6">
      <c r="F26" s="6"/>
    </row>
    <row r="29" spans="2:6">
      <c r="B29"/>
    </row>
    <row r="36" spans="2:6">
      <c r="B36" s="8"/>
    </row>
    <row r="40" spans="2:6">
      <c r="F40" s="6"/>
    </row>
    <row r="41" spans="2:6">
      <c r="F41" s="6"/>
    </row>
    <row r="42" spans="2:6">
      <c r="F42" s="6"/>
    </row>
    <row r="43" spans="2:6">
      <c r="F43" s="6"/>
    </row>
  </sheetData>
  <autoFilter ref="A1:F40" xr:uid="{75F26EFE-1FAE-C347-ACBA-74962A0CAED2}">
    <filterColumn colId="5">
      <filters blank="1">
        <filter val="Awaiting response from SVS"/>
        <filter val="Awaiting response from Vattenfall and OREC"/>
        <filter val="In progress"/>
      </filters>
    </filterColumn>
    <sortState xmlns:xlrd2="http://schemas.microsoft.com/office/spreadsheetml/2017/richdata2" ref="A8:F40">
      <sortCondition ref="D1:D40"/>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3BD9-399D-EC4F-A432-D440BFFF2B95}">
  <sheetPr>
    <tabColor rgb="FFFF0000"/>
  </sheetPr>
  <dimension ref="A1:J32"/>
  <sheetViews>
    <sheetView workbookViewId="0">
      <selection activeCell="A22" sqref="A22"/>
    </sheetView>
  </sheetViews>
  <sheetFormatPr defaultColWidth="11" defaultRowHeight="15.95"/>
  <cols>
    <col min="1" max="1" width="12" bestFit="1" customWidth="1"/>
    <col min="3" max="3" width="19.125" bestFit="1" customWidth="1"/>
    <col min="4" max="4" width="41.875" bestFit="1" customWidth="1"/>
    <col min="7" max="7" width="19.875" bestFit="1" customWidth="1"/>
    <col min="9" max="9" width="15.875" bestFit="1" customWidth="1"/>
  </cols>
  <sheetData>
    <row r="1" spans="1:10">
      <c r="A1" s="19" t="s">
        <v>1893</v>
      </c>
      <c r="B1" s="19" t="s">
        <v>1894</v>
      </c>
      <c r="C1" s="19" t="s">
        <v>1895</v>
      </c>
      <c r="D1" s="19" t="s">
        <v>1896</v>
      </c>
      <c r="E1" s="19" t="s">
        <v>1897</v>
      </c>
      <c r="F1" s="19" t="s">
        <v>1898</v>
      </c>
      <c r="G1" s="19" t="s">
        <v>1899</v>
      </c>
      <c r="H1" s="19" t="s">
        <v>1900</v>
      </c>
      <c r="I1" s="19" t="s">
        <v>1901</v>
      </c>
      <c r="J1" s="19" t="s">
        <v>1902</v>
      </c>
    </row>
    <row r="2" spans="1:10">
      <c r="A2" s="33">
        <v>45355</v>
      </c>
      <c r="B2" s="33">
        <v>45356</v>
      </c>
      <c r="C2" s="34" t="s">
        <v>588</v>
      </c>
      <c r="D2" s="34" t="s">
        <v>1903</v>
      </c>
      <c r="E2" s="34" t="s">
        <v>1882</v>
      </c>
      <c r="F2" s="34" t="s">
        <v>984</v>
      </c>
      <c r="G2" s="34" t="s">
        <v>1904</v>
      </c>
      <c r="H2" s="34"/>
      <c r="I2" s="34"/>
      <c r="J2" s="34"/>
    </row>
    <row r="3" spans="1:10">
      <c r="A3" s="31">
        <v>45538</v>
      </c>
      <c r="B3" s="31">
        <v>45538</v>
      </c>
      <c r="C3" s="6" t="s">
        <v>1905</v>
      </c>
      <c r="D3" t="s">
        <v>1906</v>
      </c>
      <c r="E3" t="s">
        <v>1907</v>
      </c>
      <c r="F3" t="s">
        <v>1908</v>
      </c>
      <c r="G3" t="s">
        <v>1909</v>
      </c>
    </row>
    <row r="4" spans="1:10" s="5" customFormat="1">
      <c r="A4" s="31">
        <v>45547</v>
      </c>
      <c r="B4" s="31">
        <v>45547</v>
      </c>
      <c r="C4" t="s">
        <v>1910</v>
      </c>
      <c r="D4" t="s">
        <v>1911</v>
      </c>
      <c r="E4" t="s">
        <v>1907</v>
      </c>
      <c r="F4" t="s">
        <v>1912</v>
      </c>
      <c r="G4" t="s">
        <v>1913</v>
      </c>
      <c r="H4"/>
      <c r="I4"/>
      <c r="J4"/>
    </row>
    <row r="5" spans="1:10">
      <c r="A5" s="32">
        <v>45552</v>
      </c>
      <c r="B5" s="32">
        <v>45552</v>
      </c>
      <c r="C5" s="5" t="s">
        <v>588</v>
      </c>
      <c r="D5" s="5" t="s">
        <v>1914</v>
      </c>
      <c r="E5" s="5" t="s">
        <v>1915</v>
      </c>
      <c r="F5" s="5" t="s">
        <v>984</v>
      </c>
      <c r="G5" s="5" t="s">
        <v>1904</v>
      </c>
      <c r="H5" s="5"/>
      <c r="I5" s="5"/>
      <c r="J5" s="5"/>
    </row>
    <row r="6" spans="1:10">
      <c r="A6" s="31">
        <v>45553</v>
      </c>
      <c r="B6" s="31">
        <v>45553</v>
      </c>
      <c r="D6" t="s">
        <v>1916</v>
      </c>
      <c r="E6" t="s">
        <v>1915</v>
      </c>
      <c r="F6" t="s">
        <v>984</v>
      </c>
      <c r="G6" t="s">
        <v>1917</v>
      </c>
    </row>
    <row r="7" spans="1:10">
      <c r="A7" s="31">
        <v>45553</v>
      </c>
      <c r="B7" s="31">
        <v>45553</v>
      </c>
      <c r="C7" t="s">
        <v>588</v>
      </c>
      <c r="D7" t="s">
        <v>1918</v>
      </c>
      <c r="E7" t="s">
        <v>1915</v>
      </c>
      <c r="F7" t="s">
        <v>1919</v>
      </c>
      <c r="G7" t="s">
        <v>1920</v>
      </c>
      <c r="H7" t="s">
        <v>1921</v>
      </c>
    </row>
    <row r="8" spans="1:10">
      <c r="A8" s="31">
        <v>45554</v>
      </c>
      <c r="B8" s="31">
        <v>45554</v>
      </c>
      <c r="C8" t="s">
        <v>588</v>
      </c>
      <c r="D8" t="s">
        <v>1922</v>
      </c>
      <c r="E8" t="s">
        <v>1915</v>
      </c>
      <c r="F8" t="s">
        <v>1919</v>
      </c>
      <c r="G8" t="s">
        <v>1920</v>
      </c>
      <c r="H8" t="s">
        <v>1921</v>
      </c>
    </row>
    <row r="9" spans="1:10">
      <c r="A9" s="32">
        <v>45559</v>
      </c>
      <c r="B9" s="32">
        <v>45562</v>
      </c>
      <c r="C9" s="5" t="s">
        <v>1910</v>
      </c>
      <c r="D9" s="5" t="s">
        <v>1923</v>
      </c>
      <c r="E9" s="5" t="s">
        <v>1910</v>
      </c>
      <c r="F9" s="5" t="s">
        <v>416</v>
      </c>
      <c r="G9" s="5" t="s">
        <v>1924</v>
      </c>
    </row>
    <row r="10" spans="1:10">
      <c r="A10" s="31">
        <v>45569</v>
      </c>
      <c r="B10" s="31">
        <v>45569</v>
      </c>
      <c r="C10" t="s">
        <v>588</v>
      </c>
      <c r="D10" t="s">
        <v>1925</v>
      </c>
      <c r="E10" t="s">
        <v>1915</v>
      </c>
      <c r="F10" t="s">
        <v>1926</v>
      </c>
      <c r="G10" t="s">
        <v>1927</v>
      </c>
    </row>
    <row r="11" spans="1:10">
      <c r="A11" s="31">
        <v>45574</v>
      </c>
      <c r="B11" s="31">
        <v>45574</v>
      </c>
      <c r="C11" t="s">
        <v>588</v>
      </c>
      <c r="D11" t="s">
        <v>1928</v>
      </c>
      <c r="E11" t="s">
        <v>1915</v>
      </c>
      <c r="F11" t="s">
        <v>984</v>
      </c>
      <c r="G11" t="s">
        <v>1929</v>
      </c>
    </row>
    <row r="12" spans="1:10">
      <c r="A12" s="32">
        <v>45574</v>
      </c>
      <c r="B12" s="32">
        <v>45575</v>
      </c>
      <c r="C12" s="5" t="s">
        <v>588</v>
      </c>
      <c r="D12" s="5" t="s">
        <v>1930</v>
      </c>
      <c r="E12" s="5" t="s">
        <v>1915</v>
      </c>
      <c r="F12" s="5" t="s">
        <v>984</v>
      </c>
      <c r="G12" s="5" t="s">
        <v>1904</v>
      </c>
    </row>
    <row r="13" spans="1:10">
      <c r="A13" s="31">
        <v>45588</v>
      </c>
      <c r="B13" s="31">
        <v>45589</v>
      </c>
      <c r="C13" t="s">
        <v>1905</v>
      </c>
      <c r="D13" t="s">
        <v>1931</v>
      </c>
      <c r="E13" t="s">
        <v>1915</v>
      </c>
      <c r="F13" t="s">
        <v>1926</v>
      </c>
      <c r="G13" t="s">
        <v>1932</v>
      </c>
    </row>
    <row r="14" spans="1:10">
      <c r="A14" s="31">
        <v>45595</v>
      </c>
      <c r="B14" s="31">
        <v>45596</v>
      </c>
      <c r="C14" t="s">
        <v>82</v>
      </c>
      <c r="D14" t="s">
        <v>1933</v>
      </c>
      <c r="E14" t="s">
        <v>1915</v>
      </c>
      <c r="F14" t="s">
        <v>1934</v>
      </c>
      <c r="G14" t="s">
        <v>1935</v>
      </c>
    </row>
    <row r="15" spans="1:10">
      <c r="A15" s="31">
        <v>45602</v>
      </c>
      <c r="B15" s="31">
        <v>45603</v>
      </c>
      <c r="C15" t="s">
        <v>588</v>
      </c>
      <c r="D15" t="s">
        <v>1936</v>
      </c>
      <c r="E15" t="s">
        <v>1907</v>
      </c>
      <c r="F15" t="s">
        <v>1937</v>
      </c>
      <c r="G15" t="s">
        <v>1938</v>
      </c>
    </row>
    <row r="16" spans="1:10">
      <c r="A16" s="31">
        <v>45615</v>
      </c>
      <c r="B16" s="31">
        <v>45617</v>
      </c>
      <c r="C16" t="s">
        <v>1939</v>
      </c>
      <c r="D16" t="s">
        <v>1940</v>
      </c>
      <c r="E16" t="s">
        <v>1910</v>
      </c>
      <c r="F16" t="s">
        <v>756</v>
      </c>
      <c r="G16" t="s">
        <v>1941</v>
      </c>
    </row>
    <row r="17" spans="1:10">
      <c r="A17" s="31">
        <v>45616</v>
      </c>
      <c r="B17" s="31">
        <v>45616</v>
      </c>
      <c r="C17" t="s">
        <v>588</v>
      </c>
      <c r="D17" t="s">
        <v>1942</v>
      </c>
      <c r="E17" t="s">
        <v>1915</v>
      </c>
      <c r="F17" t="s">
        <v>984</v>
      </c>
      <c r="G17" t="s">
        <v>1943</v>
      </c>
    </row>
    <row r="18" spans="1:10">
      <c r="A18" s="31">
        <v>45622</v>
      </c>
      <c r="B18" s="31">
        <v>45623</v>
      </c>
      <c r="C18" t="s">
        <v>1939</v>
      </c>
      <c r="D18" t="s">
        <v>1944</v>
      </c>
      <c r="E18" t="s">
        <v>1910</v>
      </c>
      <c r="F18" t="s">
        <v>1945</v>
      </c>
      <c r="G18" t="s">
        <v>1946</v>
      </c>
    </row>
    <row r="19" spans="1:10">
      <c r="A19" s="31">
        <v>45624</v>
      </c>
      <c r="B19" s="31">
        <v>45624</v>
      </c>
      <c r="C19" t="s">
        <v>588</v>
      </c>
      <c r="D19" t="s">
        <v>1947</v>
      </c>
      <c r="E19" t="s">
        <v>1948</v>
      </c>
      <c r="F19" t="s">
        <v>984</v>
      </c>
      <c r="G19" t="s">
        <v>1904</v>
      </c>
    </row>
    <row r="20" spans="1:10">
      <c r="A20" s="31">
        <v>45629</v>
      </c>
      <c r="B20" s="31">
        <v>45631</v>
      </c>
      <c r="C20" t="s">
        <v>82</v>
      </c>
      <c r="D20" t="s">
        <v>1949</v>
      </c>
      <c r="E20" t="s">
        <v>1910</v>
      </c>
      <c r="F20" t="s">
        <v>1950</v>
      </c>
      <c r="G20" t="s">
        <v>1951</v>
      </c>
    </row>
    <row r="21" spans="1:10" s="5" customFormat="1">
      <c r="A21" s="31">
        <v>45679</v>
      </c>
      <c r="B21" s="31">
        <v>45680</v>
      </c>
      <c r="C21" t="s">
        <v>588</v>
      </c>
      <c r="D21" t="s">
        <v>1952</v>
      </c>
      <c r="E21" t="s">
        <v>1910</v>
      </c>
      <c r="F21" t="s">
        <v>1926</v>
      </c>
      <c r="G21" t="s">
        <v>1932</v>
      </c>
      <c r="H21"/>
      <c r="I21"/>
      <c r="J21"/>
    </row>
    <row r="22" spans="1:10" s="34" customFormat="1">
      <c r="A22" s="32">
        <v>45706</v>
      </c>
      <c r="B22" s="32">
        <v>45708</v>
      </c>
      <c r="C22" s="5" t="s">
        <v>588</v>
      </c>
      <c r="D22" s="5" t="s">
        <v>1953</v>
      </c>
      <c r="E22" s="5" t="s">
        <v>1910</v>
      </c>
      <c r="F22" s="5" t="s">
        <v>984</v>
      </c>
      <c r="G22" s="5" t="s">
        <v>1904</v>
      </c>
      <c r="H22" s="5"/>
      <c r="I22" s="5"/>
      <c r="J22" s="5"/>
    </row>
    <row r="23" spans="1:10">
      <c r="A23" s="31">
        <v>45735</v>
      </c>
      <c r="B23" s="31">
        <v>45735</v>
      </c>
      <c r="C23" t="s">
        <v>82</v>
      </c>
      <c r="D23" t="s">
        <v>1954</v>
      </c>
      <c r="E23" t="s">
        <v>1915</v>
      </c>
      <c r="F23" t="s">
        <v>1926</v>
      </c>
      <c r="G23" t="s">
        <v>840</v>
      </c>
    </row>
    <row r="24" spans="1:10">
      <c r="A24" s="31">
        <v>45755</v>
      </c>
      <c r="B24" s="31">
        <v>45757</v>
      </c>
      <c r="C24" t="s">
        <v>588</v>
      </c>
      <c r="D24" t="s">
        <v>1955</v>
      </c>
      <c r="E24" t="s">
        <v>1882</v>
      </c>
      <c r="F24" t="s">
        <v>1956</v>
      </c>
      <c r="G24" t="s">
        <v>1957</v>
      </c>
    </row>
    <row r="25" spans="1:10">
      <c r="A25" s="31">
        <v>45782</v>
      </c>
      <c r="B25" s="31">
        <v>45785</v>
      </c>
      <c r="C25" t="s">
        <v>1958</v>
      </c>
      <c r="D25" t="s">
        <v>1959</v>
      </c>
      <c r="E25" t="s">
        <v>1915</v>
      </c>
      <c r="F25" t="s">
        <v>1960</v>
      </c>
    </row>
    <row r="26" spans="1:10">
      <c r="A26" s="31">
        <v>45825</v>
      </c>
      <c r="B26" s="31">
        <v>45826</v>
      </c>
      <c r="C26" t="s">
        <v>588</v>
      </c>
      <c r="D26" t="s">
        <v>1961</v>
      </c>
      <c r="E26" t="s">
        <v>1910</v>
      </c>
      <c r="F26" t="s">
        <v>1962</v>
      </c>
      <c r="G26" t="s">
        <v>1963</v>
      </c>
    </row>
    <row r="27" spans="1:10">
      <c r="A27" s="31">
        <v>45902</v>
      </c>
      <c r="B27" s="31">
        <v>45905</v>
      </c>
      <c r="C27" t="s">
        <v>588</v>
      </c>
      <c r="D27" t="s">
        <v>1964</v>
      </c>
      <c r="E27" t="s">
        <v>1882</v>
      </c>
      <c r="F27" t="s">
        <v>984</v>
      </c>
      <c r="G27" t="s">
        <v>1904</v>
      </c>
    </row>
    <row r="28" spans="1:10">
      <c r="A28" s="31">
        <v>45973</v>
      </c>
      <c r="B28" s="31">
        <v>45974</v>
      </c>
      <c r="C28" t="s">
        <v>588</v>
      </c>
      <c r="D28" t="s">
        <v>1930</v>
      </c>
      <c r="E28" t="s">
        <v>1910</v>
      </c>
      <c r="F28" t="s">
        <v>984</v>
      </c>
      <c r="G28" t="s">
        <v>1904</v>
      </c>
    </row>
    <row r="29" spans="1:10">
      <c r="A29" s="31"/>
      <c r="B29" s="31"/>
    </row>
    <row r="30" spans="1:10">
      <c r="A30" s="31"/>
      <c r="B30" s="31"/>
    </row>
    <row r="31" spans="1:10">
      <c r="A31" s="31"/>
      <c r="B31" s="31"/>
    </row>
    <row r="32" spans="1:10">
      <c r="A32" s="31"/>
      <c r="B32" s="31"/>
    </row>
  </sheetData>
  <autoFilter ref="A1:J28" xr:uid="{AD393BD9-399D-EC4F-A432-D440BFFF2B95}">
    <sortState xmlns:xlrd2="http://schemas.microsoft.com/office/spreadsheetml/2017/richdata2" ref="A2:J28">
      <sortCondition ref="A1:A28"/>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CD33F-B7D6-2149-97D3-283AACE845CC}">
  <dimension ref="A1:Q44"/>
  <sheetViews>
    <sheetView zoomScale="75" workbookViewId="0">
      <selection activeCell="I13" sqref="I13"/>
    </sheetView>
  </sheetViews>
  <sheetFormatPr defaultColWidth="10.875" defaultRowHeight="15.95"/>
  <cols>
    <col min="1" max="1" width="47.875" style="4" customWidth="1"/>
    <col min="2" max="2" width="19" style="4" bestFit="1" customWidth="1"/>
    <col min="3" max="3" width="19" style="4" customWidth="1"/>
    <col min="4" max="6" width="13.875" style="4" customWidth="1"/>
    <col min="7" max="8" width="13.625" style="4" customWidth="1"/>
    <col min="9" max="14" width="13.375" style="4" customWidth="1"/>
    <col min="15" max="16" width="14" style="4" customWidth="1"/>
    <col min="17" max="17" width="14.625" style="4" customWidth="1"/>
    <col min="18" max="16384" width="10.875" style="4"/>
  </cols>
  <sheetData>
    <row r="1" spans="1:17" ht="51.95">
      <c r="A1" s="296" t="s">
        <v>1965</v>
      </c>
    </row>
    <row r="4" spans="1:17" ht="50.1" customHeight="1">
      <c r="A4" s="297" t="s">
        <v>1966</v>
      </c>
      <c r="B4" s="331" t="s">
        <v>1967</v>
      </c>
      <c r="C4" s="331"/>
      <c r="D4" s="331"/>
      <c r="E4" s="331"/>
      <c r="F4" s="331"/>
      <c r="G4" s="331"/>
      <c r="H4" s="331"/>
      <c r="I4" s="331"/>
      <c r="J4" s="331"/>
      <c r="K4" s="331"/>
      <c r="L4" s="331"/>
      <c r="M4" s="331"/>
      <c r="N4" s="331"/>
      <c r="O4" s="331"/>
      <c r="P4" s="331"/>
      <c r="Q4" s="331"/>
    </row>
    <row r="5" spans="1:17" ht="33.950000000000003">
      <c r="A5" s="38"/>
      <c r="B5" s="302" t="s">
        <v>1968</v>
      </c>
      <c r="C5" s="301" t="s">
        <v>1969</v>
      </c>
      <c r="D5" s="302" t="s">
        <v>1970</v>
      </c>
      <c r="E5" s="301" t="s">
        <v>1969</v>
      </c>
      <c r="F5" s="302" t="s">
        <v>1737</v>
      </c>
      <c r="G5" s="301" t="s">
        <v>1969</v>
      </c>
      <c r="H5" s="302" t="s">
        <v>1485</v>
      </c>
      <c r="I5" s="301" t="s">
        <v>1969</v>
      </c>
      <c r="J5" s="302" t="s">
        <v>421</v>
      </c>
      <c r="K5" s="301" t="s">
        <v>1969</v>
      </c>
      <c r="L5" s="302" t="s">
        <v>1971</v>
      </c>
      <c r="M5" s="301" t="s">
        <v>1969</v>
      </c>
      <c r="N5" s="302" t="s">
        <v>1972</v>
      </c>
      <c r="O5" s="301" t="s">
        <v>1969</v>
      </c>
      <c r="P5" s="302" t="s">
        <v>1973</v>
      </c>
      <c r="Q5" s="301" t="s">
        <v>1969</v>
      </c>
    </row>
    <row r="6" spans="1:17" ht="84.95">
      <c r="A6" s="298" t="s">
        <v>1974</v>
      </c>
      <c r="B6" s="303">
        <v>2</v>
      </c>
      <c r="C6" s="303" t="s">
        <v>1975</v>
      </c>
      <c r="D6" s="303">
        <v>5</v>
      </c>
      <c r="E6" s="303" t="s">
        <v>1976</v>
      </c>
      <c r="F6" s="303">
        <v>5</v>
      </c>
      <c r="G6" s="303" t="s">
        <v>1977</v>
      </c>
      <c r="H6" s="303">
        <v>1</v>
      </c>
      <c r="I6" s="303" t="s">
        <v>1978</v>
      </c>
      <c r="J6" s="303">
        <v>2</v>
      </c>
      <c r="K6" s="303" t="s">
        <v>1979</v>
      </c>
      <c r="L6" s="303">
        <v>4</v>
      </c>
      <c r="M6" s="303" t="s">
        <v>1980</v>
      </c>
      <c r="N6" s="303">
        <v>4</v>
      </c>
      <c r="O6" s="303" t="s">
        <v>1981</v>
      </c>
      <c r="P6" s="303">
        <v>5</v>
      </c>
      <c r="Q6" s="303" t="s">
        <v>1982</v>
      </c>
    </row>
    <row r="7" spans="1:17" ht="84.95">
      <c r="A7" s="300" t="s">
        <v>1983</v>
      </c>
      <c r="B7" s="303">
        <v>1</v>
      </c>
      <c r="C7" s="303"/>
      <c r="D7" s="303">
        <v>1</v>
      </c>
      <c r="E7" s="303"/>
      <c r="F7" s="303">
        <v>2</v>
      </c>
      <c r="G7" s="303"/>
      <c r="H7" s="303">
        <v>1</v>
      </c>
      <c r="I7" s="303"/>
      <c r="J7" s="303">
        <v>1</v>
      </c>
      <c r="K7" s="303"/>
      <c r="L7" s="303">
        <v>2</v>
      </c>
      <c r="M7" s="303"/>
      <c r="N7" s="303">
        <v>4</v>
      </c>
      <c r="O7" s="303"/>
      <c r="P7" s="303">
        <v>4</v>
      </c>
      <c r="Q7" s="303"/>
    </row>
    <row r="8" spans="1:17" ht="84.95">
      <c r="A8" s="298" t="s">
        <v>1984</v>
      </c>
      <c r="B8" s="303">
        <v>2</v>
      </c>
      <c r="C8" s="303"/>
      <c r="D8" s="303">
        <v>5</v>
      </c>
      <c r="E8" s="303"/>
      <c r="F8" s="303">
        <v>5</v>
      </c>
      <c r="G8" s="303"/>
      <c r="H8" s="303">
        <v>1</v>
      </c>
      <c r="I8" s="303"/>
      <c r="J8" s="303">
        <v>2</v>
      </c>
      <c r="K8" s="303"/>
      <c r="L8" s="303">
        <v>4</v>
      </c>
      <c r="M8" s="303"/>
      <c r="N8" s="303">
        <v>4</v>
      </c>
      <c r="O8" s="303"/>
      <c r="P8" s="303">
        <v>5</v>
      </c>
      <c r="Q8" s="303"/>
    </row>
    <row r="9" spans="1:17" ht="84.95">
      <c r="A9" s="300" t="s">
        <v>1985</v>
      </c>
      <c r="B9" s="303">
        <v>1</v>
      </c>
      <c r="C9" s="303"/>
      <c r="D9" s="303">
        <v>1</v>
      </c>
      <c r="E9" s="303"/>
      <c r="F9" s="303">
        <v>1</v>
      </c>
      <c r="G9" s="303"/>
      <c r="H9" s="303">
        <v>1</v>
      </c>
      <c r="I9" s="303"/>
      <c r="J9" s="303">
        <v>1</v>
      </c>
      <c r="K9" s="303"/>
      <c r="L9" s="303">
        <v>2</v>
      </c>
      <c r="M9" s="303"/>
      <c r="N9" s="303">
        <v>1</v>
      </c>
      <c r="O9" s="303"/>
      <c r="P9" s="303">
        <v>1</v>
      </c>
      <c r="Q9" s="303"/>
    </row>
    <row r="10" spans="1:17" ht="84.95">
      <c r="A10" s="298" t="s">
        <v>1986</v>
      </c>
      <c r="B10" s="303">
        <v>3</v>
      </c>
      <c r="C10" s="303" t="s">
        <v>1987</v>
      </c>
      <c r="D10" s="303">
        <v>5</v>
      </c>
      <c r="E10" s="303"/>
      <c r="F10" s="303">
        <v>5</v>
      </c>
      <c r="G10" s="303"/>
      <c r="H10" s="303">
        <v>2</v>
      </c>
      <c r="I10" s="303"/>
      <c r="J10" s="303">
        <v>2</v>
      </c>
      <c r="K10" s="303"/>
      <c r="L10" s="303">
        <v>4</v>
      </c>
      <c r="M10" s="303"/>
      <c r="N10" s="303">
        <v>4</v>
      </c>
      <c r="O10" s="303"/>
      <c r="P10" s="303">
        <v>5</v>
      </c>
      <c r="Q10" s="303"/>
    </row>
    <row r="11" spans="1:17" ht="84.95">
      <c r="A11" s="300" t="s">
        <v>1988</v>
      </c>
      <c r="B11" s="303">
        <v>1</v>
      </c>
      <c r="C11" s="303"/>
      <c r="D11" s="303">
        <v>1</v>
      </c>
      <c r="E11" s="303"/>
      <c r="F11" s="303">
        <v>1</v>
      </c>
      <c r="G11" s="303"/>
      <c r="H11" s="303">
        <v>2</v>
      </c>
      <c r="I11" s="303"/>
      <c r="J11" s="303">
        <v>2</v>
      </c>
      <c r="K11" s="303"/>
      <c r="L11" s="303">
        <v>2</v>
      </c>
      <c r="M11" s="303"/>
      <c r="N11" s="303">
        <v>5</v>
      </c>
      <c r="O11" s="303"/>
      <c r="P11" s="303">
        <v>4</v>
      </c>
      <c r="Q11" s="303"/>
    </row>
    <row r="12" spans="1:17" ht="68.099999999999994">
      <c r="A12" s="298" t="s">
        <v>1989</v>
      </c>
      <c r="B12" s="303"/>
      <c r="C12" s="303"/>
      <c r="D12" s="303"/>
      <c r="E12" s="303"/>
      <c r="F12" s="303"/>
      <c r="G12" s="303"/>
      <c r="H12" s="303"/>
      <c r="I12" s="303"/>
      <c r="J12" s="303"/>
      <c r="K12" s="303"/>
      <c r="L12" s="303"/>
      <c r="M12" s="303"/>
      <c r="N12" s="303"/>
      <c r="O12" s="303"/>
      <c r="P12" s="303"/>
      <c r="Q12" s="303"/>
    </row>
    <row r="13" spans="1:17" ht="74.099999999999994" customHeight="1">
      <c r="A13" s="300" t="s">
        <v>1990</v>
      </c>
      <c r="B13" s="303"/>
      <c r="C13" s="303"/>
      <c r="D13" s="303"/>
      <c r="E13" s="303"/>
      <c r="F13" s="303"/>
      <c r="G13" s="303"/>
      <c r="H13" s="303"/>
      <c r="I13" s="303"/>
      <c r="J13" s="303"/>
      <c r="K13" s="303"/>
      <c r="L13" s="303"/>
      <c r="M13" s="303"/>
      <c r="N13" s="303"/>
      <c r="O13" s="303"/>
      <c r="P13" s="303"/>
      <c r="Q13" s="303"/>
    </row>
    <row r="14" spans="1:17" ht="24.95">
      <c r="A14" s="299" t="s">
        <v>1991</v>
      </c>
      <c r="B14" s="303"/>
      <c r="C14" s="303"/>
      <c r="D14" s="303"/>
      <c r="E14" s="303"/>
      <c r="F14" s="303"/>
      <c r="G14" s="303"/>
      <c r="H14" s="303"/>
      <c r="I14" s="303"/>
      <c r="J14" s="303"/>
      <c r="K14" s="303"/>
      <c r="L14" s="303"/>
      <c r="M14" s="303"/>
      <c r="N14" s="303"/>
      <c r="O14" s="303"/>
      <c r="P14" s="303"/>
      <c r="Q14" s="303"/>
    </row>
    <row r="15" spans="1:17">
      <c r="A15" s="38"/>
      <c r="B15" s="303"/>
      <c r="C15" s="303"/>
      <c r="D15" s="303"/>
      <c r="E15" s="303"/>
      <c r="F15" s="303"/>
      <c r="G15" s="303"/>
      <c r="H15" s="303"/>
      <c r="I15" s="303"/>
      <c r="J15" s="303"/>
      <c r="K15" s="303"/>
      <c r="L15" s="303"/>
      <c r="M15" s="303"/>
      <c r="N15" s="303"/>
      <c r="O15" s="303"/>
      <c r="P15" s="303"/>
      <c r="Q15" s="303"/>
    </row>
    <row r="16" spans="1:17" ht="68.099999999999994">
      <c r="A16" s="298" t="s">
        <v>1992</v>
      </c>
      <c r="B16" s="303"/>
      <c r="C16" s="303"/>
      <c r="D16" s="303"/>
      <c r="E16" s="303"/>
      <c r="F16" s="303"/>
      <c r="G16" s="303"/>
      <c r="H16" s="303"/>
      <c r="I16" s="303"/>
      <c r="J16" s="303"/>
      <c r="K16" s="303"/>
      <c r="L16" s="303"/>
      <c r="M16" s="303"/>
      <c r="N16" s="303"/>
      <c r="O16" s="303"/>
      <c r="P16" s="303"/>
      <c r="Q16" s="303"/>
    </row>
    <row r="17" spans="1:17" ht="68.099999999999994">
      <c r="A17" s="300" t="s">
        <v>1993</v>
      </c>
      <c r="B17" s="303"/>
      <c r="C17" s="303"/>
      <c r="D17" s="303"/>
      <c r="E17" s="303"/>
      <c r="F17" s="303"/>
      <c r="G17" s="303"/>
      <c r="H17" s="303"/>
      <c r="I17" s="303"/>
      <c r="J17" s="303"/>
      <c r="K17" s="303"/>
      <c r="L17" s="303"/>
      <c r="M17" s="303"/>
      <c r="N17" s="303"/>
      <c r="O17" s="303"/>
      <c r="P17" s="303"/>
      <c r="Q17" s="303"/>
    </row>
    <row r="18" spans="1:17" ht="68.099999999999994">
      <c r="A18" s="298" t="s">
        <v>1994</v>
      </c>
      <c r="B18" s="303"/>
      <c r="C18" s="303"/>
      <c r="D18" s="303"/>
      <c r="E18" s="303"/>
      <c r="F18" s="303"/>
      <c r="G18" s="303"/>
      <c r="H18" s="303"/>
      <c r="I18" s="303"/>
      <c r="J18" s="303"/>
      <c r="K18" s="303"/>
      <c r="L18" s="303"/>
      <c r="M18" s="303"/>
      <c r="N18" s="303"/>
      <c r="O18" s="303"/>
      <c r="P18" s="303"/>
      <c r="Q18" s="303"/>
    </row>
    <row r="19" spans="1:17" ht="84.95">
      <c r="A19" s="300" t="s">
        <v>1995</v>
      </c>
      <c r="B19" s="303"/>
      <c r="C19" s="303"/>
      <c r="D19" s="303"/>
      <c r="E19" s="303"/>
      <c r="F19" s="303"/>
      <c r="G19" s="303"/>
      <c r="H19" s="303"/>
      <c r="I19" s="303"/>
      <c r="J19" s="303"/>
      <c r="K19" s="303"/>
      <c r="L19" s="303"/>
      <c r="M19" s="303"/>
      <c r="N19" s="303"/>
      <c r="O19" s="303"/>
      <c r="P19" s="303"/>
      <c r="Q19" s="303"/>
    </row>
    <row r="20" spans="1:17" ht="51">
      <c r="A20" s="298" t="s">
        <v>1996</v>
      </c>
      <c r="B20" s="303"/>
      <c r="C20" s="303"/>
      <c r="D20" s="303"/>
      <c r="E20" s="303"/>
      <c r="F20" s="303"/>
      <c r="G20" s="303"/>
      <c r="H20" s="303"/>
      <c r="I20" s="303"/>
      <c r="J20" s="303"/>
      <c r="K20" s="303"/>
      <c r="L20" s="303"/>
      <c r="M20" s="303"/>
      <c r="N20" s="303"/>
      <c r="O20" s="303"/>
      <c r="P20" s="303"/>
      <c r="Q20" s="303"/>
    </row>
    <row r="21" spans="1:17" ht="68.099999999999994">
      <c r="A21" s="300" t="s">
        <v>1997</v>
      </c>
      <c r="B21" s="303"/>
      <c r="C21" s="303"/>
      <c r="D21" s="303"/>
      <c r="E21" s="303"/>
      <c r="F21" s="303"/>
      <c r="G21" s="303"/>
      <c r="H21" s="303"/>
      <c r="I21" s="303"/>
      <c r="J21" s="303"/>
      <c r="K21" s="303"/>
      <c r="L21" s="303"/>
      <c r="M21" s="303"/>
      <c r="N21" s="303"/>
      <c r="O21" s="303"/>
      <c r="P21" s="303"/>
      <c r="Q21" s="303"/>
    </row>
    <row r="22" spans="1:17" ht="50.1">
      <c r="A22" s="299" t="s">
        <v>1998</v>
      </c>
      <c r="B22" s="303"/>
      <c r="C22" s="303"/>
      <c r="D22" s="303"/>
      <c r="E22" s="303"/>
      <c r="F22" s="303"/>
      <c r="G22" s="303"/>
      <c r="H22" s="303"/>
      <c r="I22" s="303"/>
      <c r="J22" s="303"/>
      <c r="K22" s="303"/>
      <c r="L22" s="303"/>
      <c r="M22" s="303"/>
      <c r="N22" s="303"/>
      <c r="O22" s="303"/>
      <c r="P22" s="303"/>
      <c r="Q22" s="303"/>
    </row>
    <row r="23" spans="1:17">
      <c r="A23" s="38"/>
      <c r="B23" s="303"/>
      <c r="C23" s="303"/>
      <c r="D23" s="303"/>
      <c r="E23" s="303"/>
      <c r="F23" s="303"/>
      <c r="G23" s="303"/>
      <c r="H23" s="303"/>
      <c r="I23" s="303"/>
      <c r="J23" s="303"/>
      <c r="K23" s="303"/>
      <c r="L23" s="303"/>
      <c r="M23" s="303"/>
      <c r="N23" s="303"/>
      <c r="O23" s="303"/>
      <c r="P23" s="303"/>
      <c r="Q23" s="303"/>
    </row>
    <row r="24" spans="1:17" ht="51">
      <c r="A24" s="298" t="s">
        <v>1999</v>
      </c>
      <c r="B24" s="303"/>
      <c r="C24" s="303"/>
      <c r="D24" s="303"/>
      <c r="E24" s="303"/>
      <c r="F24" s="303"/>
      <c r="G24" s="303"/>
      <c r="H24" s="303"/>
      <c r="I24" s="303"/>
      <c r="J24" s="303"/>
      <c r="K24" s="303"/>
      <c r="L24" s="303"/>
      <c r="M24" s="303"/>
      <c r="N24" s="303"/>
      <c r="O24" s="303"/>
      <c r="P24" s="303"/>
      <c r="Q24" s="303"/>
    </row>
    <row r="25" spans="1:17" ht="68.099999999999994">
      <c r="A25" s="300" t="s">
        <v>2000</v>
      </c>
      <c r="B25" s="303"/>
      <c r="C25" s="303"/>
      <c r="D25" s="303"/>
      <c r="E25" s="303"/>
      <c r="F25" s="303"/>
      <c r="G25" s="303"/>
      <c r="H25" s="303"/>
      <c r="I25" s="303"/>
      <c r="J25" s="303"/>
      <c r="K25" s="303"/>
      <c r="L25" s="303"/>
      <c r="M25" s="303"/>
      <c r="N25" s="303"/>
      <c r="O25" s="303"/>
      <c r="P25" s="303"/>
      <c r="Q25" s="303"/>
    </row>
    <row r="26" spans="1:17" ht="68.099999999999994">
      <c r="A26" s="298" t="s">
        <v>2001</v>
      </c>
      <c r="B26" s="303"/>
      <c r="C26" s="303"/>
      <c r="D26" s="303"/>
      <c r="E26" s="303"/>
      <c r="F26" s="303"/>
      <c r="G26" s="303"/>
      <c r="H26" s="303"/>
      <c r="I26" s="303"/>
      <c r="J26" s="303"/>
      <c r="K26" s="303"/>
      <c r="L26" s="303"/>
      <c r="M26" s="303"/>
      <c r="N26" s="303"/>
      <c r="O26" s="303"/>
      <c r="P26" s="303"/>
      <c r="Q26" s="303"/>
    </row>
    <row r="27" spans="1:17" ht="51">
      <c r="A27" s="300" t="s">
        <v>2002</v>
      </c>
      <c r="B27" s="303"/>
      <c r="C27" s="303"/>
      <c r="D27" s="303"/>
      <c r="E27" s="303"/>
      <c r="F27" s="303"/>
      <c r="G27" s="303"/>
      <c r="H27" s="303"/>
      <c r="I27" s="303"/>
      <c r="J27" s="303"/>
      <c r="K27" s="303"/>
      <c r="L27" s="303"/>
      <c r="M27" s="303"/>
      <c r="N27" s="303"/>
      <c r="O27" s="303"/>
      <c r="P27" s="303"/>
      <c r="Q27" s="303"/>
    </row>
    <row r="28" spans="1:17" ht="51">
      <c r="A28" s="298" t="s">
        <v>2003</v>
      </c>
      <c r="B28" s="303"/>
      <c r="C28" s="303"/>
      <c r="D28" s="303"/>
      <c r="E28" s="303"/>
      <c r="F28" s="303"/>
      <c r="G28" s="303"/>
      <c r="H28" s="303"/>
      <c r="I28" s="303"/>
      <c r="J28" s="303"/>
      <c r="K28" s="303"/>
      <c r="L28" s="303"/>
      <c r="M28" s="303"/>
      <c r="N28" s="303"/>
      <c r="O28" s="303"/>
      <c r="P28" s="303"/>
      <c r="Q28" s="303"/>
    </row>
    <row r="29" spans="1:17" ht="68.099999999999994">
      <c r="A29" s="300" t="s">
        <v>2004</v>
      </c>
      <c r="B29" s="303"/>
      <c r="C29" s="303"/>
      <c r="D29" s="303"/>
      <c r="E29" s="303"/>
      <c r="F29" s="303"/>
      <c r="G29" s="303"/>
      <c r="H29" s="303"/>
      <c r="I29" s="303"/>
      <c r="J29" s="303"/>
      <c r="K29" s="303"/>
      <c r="L29" s="303"/>
      <c r="M29" s="303"/>
      <c r="N29" s="303"/>
      <c r="O29" s="303"/>
      <c r="P29" s="303"/>
      <c r="Q29" s="303"/>
    </row>
    <row r="30" spans="1:17" ht="24.95">
      <c r="A30" s="299" t="s">
        <v>2005</v>
      </c>
      <c r="B30" s="303"/>
      <c r="C30" s="303"/>
      <c r="D30" s="303"/>
      <c r="E30" s="303"/>
      <c r="F30" s="303"/>
      <c r="G30" s="303"/>
      <c r="H30" s="303"/>
      <c r="I30" s="303"/>
      <c r="J30" s="303"/>
      <c r="K30" s="303"/>
      <c r="L30" s="303"/>
      <c r="M30" s="303"/>
      <c r="N30" s="303"/>
      <c r="O30" s="303"/>
      <c r="P30" s="303"/>
      <c r="Q30" s="303"/>
    </row>
    <row r="31" spans="1:17">
      <c r="A31" s="38"/>
      <c r="B31" s="303"/>
      <c r="C31" s="303"/>
      <c r="D31" s="303"/>
      <c r="E31" s="303"/>
      <c r="F31" s="303"/>
      <c r="G31" s="303"/>
      <c r="H31" s="303"/>
      <c r="I31" s="303"/>
      <c r="J31" s="303"/>
      <c r="K31" s="303"/>
      <c r="L31" s="303"/>
      <c r="M31" s="303"/>
      <c r="N31" s="303"/>
      <c r="O31" s="303"/>
      <c r="P31" s="303"/>
      <c r="Q31" s="303"/>
    </row>
    <row r="32" spans="1:17" ht="51">
      <c r="A32" s="298" t="s">
        <v>2006</v>
      </c>
      <c r="B32" s="303"/>
      <c r="C32" s="303"/>
      <c r="D32" s="303"/>
      <c r="E32" s="303"/>
      <c r="F32" s="303"/>
      <c r="G32" s="303"/>
      <c r="H32" s="303"/>
      <c r="I32" s="303"/>
      <c r="J32" s="303"/>
      <c r="K32" s="303"/>
      <c r="L32" s="303"/>
      <c r="M32" s="303"/>
      <c r="N32" s="303"/>
      <c r="O32" s="303"/>
      <c r="P32" s="303"/>
      <c r="Q32" s="303"/>
    </row>
    <row r="33" spans="1:17" ht="68.099999999999994">
      <c r="A33" s="300" t="s">
        <v>2007</v>
      </c>
      <c r="B33" s="303"/>
      <c r="C33" s="303"/>
      <c r="D33" s="303"/>
      <c r="E33" s="303"/>
      <c r="F33" s="303"/>
      <c r="G33" s="303"/>
      <c r="H33" s="303"/>
      <c r="I33" s="303"/>
      <c r="J33" s="303"/>
      <c r="K33" s="303"/>
      <c r="L33" s="303"/>
      <c r="M33" s="303"/>
      <c r="N33" s="303"/>
      <c r="O33" s="303"/>
      <c r="P33" s="303"/>
      <c r="Q33" s="303"/>
    </row>
    <row r="34" spans="1:17" ht="68.099999999999994">
      <c r="A34" s="298" t="s">
        <v>2008</v>
      </c>
      <c r="B34" s="303"/>
      <c r="C34" s="303"/>
      <c r="D34" s="303"/>
      <c r="E34" s="303"/>
      <c r="F34" s="303"/>
      <c r="G34" s="303"/>
      <c r="H34" s="303"/>
      <c r="I34" s="303"/>
      <c r="J34" s="303"/>
      <c r="K34" s="303"/>
      <c r="L34" s="303"/>
      <c r="M34" s="303"/>
      <c r="N34" s="303"/>
      <c r="O34" s="303"/>
      <c r="P34" s="303"/>
      <c r="Q34" s="303"/>
    </row>
    <row r="35" spans="1:17" ht="68.099999999999994">
      <c r="A35" s="300" t="s">
        <v>2009</v>
      </c>
      <c r="B35" s="303"/>
      <c r="C35" s="303"/>
      <c r="D35" s="303"/>
      <c r="E35" s="303"/>
      <c r="F35" s="303"/>
      <c r="G35" s="303"/>
      <c r="H35" s="303"/>
      <c r="I35" s="303"/>
      <c r="J35" s="303"/>
      <c r="K35" s="303"/>
      <c r="L35" s="303"/>
      <c r="M35" s="303"/>
      <c r="N35" s="303"/>
      <c r="O35" s="303"/>
      <c r="P35" s="303"/>
      <c r="Q35" s="303"/>
    </row>
    <row r="36" spans="1:17" ht="68.099999999999994">
      <c r="A36" s="298" t="s">
        <v>2010</v>
      </c>
      <c r="B36" s="303"/>
      <c r="C36" s="303"/>
      <c r="D36" s="303"/>
      <c r="E36" s="303"/>
      <c r="F36" s="303"/>
      <c r="G36" s="303"/>
      <c r="H36" s="303"/>
      <c r="I36" s="303"/>
      <c r="J36" s="303"/>
      <c r="K36" s="303"/>
      <c r="L36" s="303"/>
      <c r="M36" s="303"/>
      <c r="N36" s="303"/>
      <c r="O36" s="303"/>
      <c r="P36" s="303"/>
      <c r="Q36" s="303"/>
    </row>
    <row r="37" spans="1:17" ht="68.099999999999994">
      <c r="A37" s="300" t="s">
        <v>2011</v>
      </c>
      <c r="B37" s="303"/>
      <c r="C37" s="303"/>
      <c r="D37" s="303"/>
      <c r="E37" s="303"/>
      <c r="F37" s="303"/>
      <c r="G37" s="303"/>
      <c r="H37" s="303"/>
      <c r="I37" s="303"/>
      <c r="J37" s="303"/>
      <c r="K37" s="303"/>
      <c r="L37" s="303"/>
      <c r="M37" s="303"/>
      <c r="N37" s="303"/>
      <c r="O37" s="303"/>
      <c r="P37" s="303"/>
      <c r="Q37" s="303"/>
    </row>
    <row r="38" spans="1:17" ht="24.95">
      <c r="A38" s="299" t="s">
        <v>2012</v>
      </c>
      <c r="B38" s="303"/>
      <c r="C38" s="303"/>
      <c r="D38" s="303"/>
      <c r="E38" s="303"/>
      <c r="F38" s="303"/>
      <c r="G38" s="303"/>
      <c r="H38" s="303"/>
      <c r="I38" s="303"/>
      <c r="J38" s="303"/>
      <c r="K38" s="303"/>
      <c r="L38" s="303"/>
      <c r="M38" s="303"/>
      <c r="N38" s="303"/>
      <c r="O38" s="303"/>
      <c r="P38" s="303"/>
      <c r="Q38" s="303"/>
    </row>
    <row r="39" spans="1:17">
      <c r="A39" s="38"/>
      <c r="B39" s="303"/>
      <c r="C39" s="303"/>
      <c r="D39" s="303"/>
      <c r="E39" s="303"/>
      <c r="F39" s="303"/>
      <c r="G39" s="303"/>
      <c r="H39" s="303"/>
      <c r="I39" s="303"/>
      <c r="J39" s="303"/>
      <c r="K39" s="303"/>
      <c r="L39" s="303"/>
      <c r="M39" s="303"/>
      <c r="N39" s="303"/>
      <c r="O39" s="303"/>
      <c r="P39" s="303"/>
      <c r="Q39" s="303"/>
    </row>
    <row r="40" spans="1:17" ht="68.099999999999994">
      <c r="A40" s="298" t="s">
        <v>2013</v>
      </c>
      <c r="B40" s="303"/>
      <c r="C40" s="303"/>
      <c r="D40" s="303"/>
      <c r="E40" s="303"/>
      <c r="F40" s="303"/>
      <c r="G40" s="303"/>
      <c r="H40" s="303"/>
      <c r="I40" s="303"/>
      <c r="J40" s="303"/>
      <c r="K40" s="303"/>
      <c r="L40" s="303"/>
      <c r="M40" s="303"/>
      <c r="N40" s="303"/>
      <c r="O40" s="303"/>
      <c r="P40" s="303"/>
      <c r="Q40" s="303"/>
    </row>
    <row r="41" spans="1:17" ht="84.95">
      <c r="A41" s="300" t="s">
        <v>2014</v>
      </c>
      <c r="B41" s="303"/>
      <c r="C41" s="303"/>
      <c r="D41" s="303"/>
      <c r="E41" s="303"/>
      <c r="F41" s="303"/>
      <c r="G41" s="303"/>
      <c r="H41" s="303"/>
      <c r="I41" s="303"/>
      <c r="J41" s="303"/>
      <c r="K41" s="303"/>
      <c r="L41" s="303"/>
      <c r="M41" s="303"/>
      <c r="N41" s="303"/>
      <c r="O41" s="303"/>
      <c r="P41" s="303"/>
      <c r="Q41" s="303"/>
    </row>
    <row r="42" spans="1:17" ht="51">
      <c r="A42" s="298" t="s">
        <v>2015</v>
      </c>
      <c r="B42" s="303"/>
      <c r="C42" s="303"/>
      <c r="D42" s="303"/>
      <c r="E42" s="303"/>
      <c r="F42" s="303"/>
      <c r="G42" s="303"/>
      <c r="H42" s="303"/>
      <c r="I42" s="303"/>
      <c r="J42" s="303"/>
      <c r="K42" s="303"/>
      <c r="L42" s="303"/>
      <c r="M42" s="303"/>
      <c r="N42" s="303"/>
      <c r="O42" s="303"/>
      <c r="P42" s="303"/>
      <c r="Q42" s="303"/>
    </row>
    <row r="43" spans="1:17" ht="84.95">
      <c r="A43" s="300" t="s">
        <v>2016</v>
      </c>
      <c r="B43" s="303"/>
      <c r="C43" s="303"/>
      <c r="D43" s="303"/>
      <c r="E43" s="303"/>
      <c r="F43" s="303"/>
      <c r="G43" s="303"/>
      <c r="H43" s="303"/>
      <c r="I43" s="303"/>
      <c r="J43" s="303"/>
      <c r="K43" s="303"/>
      <c r="L43" s="303"/>
      <c r="M43" s="303"/>
      <c r="N43" s="303"/>
      <c r="O43" s="303"/>
      <c r="P43" s="303"/>
      <c r="Q43" s="303"/>
    </row>
    <row r="44" spans="1:17">
      <c r="A44" s="38"/>
      <c r="B44" s="303"/>
      <c r="C44" s="303"/>
      <c r="D44" s="303"/>
      <c r="E44" s="303"/>
      <c r="F44" s="303"/>
      <c r="G44" s="303"/>
      <c r="H44" s="303"/>
      <c r="I44" s="303"/>
      <c r="J44" s="303"/>
      <c r="K44" s="303"/>
      <c r="L44" s="303"/>
      <c r="M44" s="303"/>
      <c r="N44" s="303"/>
      <c r="O44" s="303"/>
      <c r="P44" s="303"/>
      <c r="Q44" s="303"/>
    </row>
  </sheetData>
  <mergeCells count="1">
    <mergeCell ref="B4:Q4"/>
  </mergeCells>
  <conditionalFormatting sqref="B6:P95">
    <cfRule type="colorScale" priority="1">
      <colorScale>
        <cfvo type="min"/>
        <cfvo type="percentile" val="50"/>
        <cfvo type="max"/>
        <color rgb="FFF8696B"/>
        <color rgb="FFFFEB84"/>
        <color rgb="FF63BE7B"/>
      </colorScale>
    </cfRule>
  </conditionalFormatting>
  <conditionalFormatting sqref="B6:Q44">
    <cfRule type="colorScale" priority="2">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39413-7CA3-C94B-B29D-C6148EF39452}">
  <dimension ref="A1:AB41"/>
  <sheetViews>
    <sheetView zoomScaleNormal="179" workbookViewId="0">
      <selection activeCell="E25" sqref="E25"/>
    </sheetView>
  </sheetViews>
  <sheetFormatPr defaultColWidth="11" defaultRowHeight="15.95"/>
  <cols>
    <col min="1" max="1" width="20.375" bestFit="1" customWidth="1"/>
    <col min="5" max="5" width="12.875" bestFit="1" customWidth="1"/>
  </cols>
  <sheetData>
    <row r="1" spans="1:28">
      <c r="A1" s="5" t="s">
        <v>2017</v>
      </c>
      <c r="B1" s="5"/>
      <c r="C1" s="5"/>
      <c r="D1" s="5"/>
      <c r="E1" s="5"/>
      <c r="F1" s="5"/>
      <c r="G1" s="5"/>
    </row>
    <row r="3" spans="1:28">
      <c r="A3" s="21" t="s">
        <v>2018</v>
      </c>
      <c r="B3" s="21" t="s">
        <v>2019</v>
      </c>
      <c r="C3" s="21" t="s">
        <v>14</v>
      </c>
      <c r="D3" s="21" t="s">
        <v>2020</v>
      </c>
      <c r="E3" s="21" t="s">
        <v>2021</v>
      </c>
      <c r="F3" s="21" t="s">
        <v>2022</v>
      </c>
      <c r="G3" s="259">
        <v>45292</v>
      </c>
      <c r="H3" s="260">
        <v>45323</v>
      </c>
      <c r="I3" s="260">
        <v>45352</v>
      </c>
      <c r="J3" s="260">
        <v>45383</v>
      </c>
      <c r="K3" s="260">
        <v>45413</v>
      </c>
      <c r="L3" s="260">
        <v>45444</v>
      </c>
      <c r="M3" s="260">
        <v>45474</v>
      </c>
      <c r="N3" s="260">
        <v>45505</v>
      </c>
      <c r="O3" s="260">
        <v>45536</v>
      </c>
      <c r="P3" s="260">
        <v>45566</v>
      </c>
      <c r="Q3" s="260">
        <v>45597</v>
      </c>
      <c r="R3" s="260">
        <v>45627</v>
      </c>
      <c r="S3" s="260">
        <v>45658</v>
      </c>
      <c r="T3" s="260">
        <v>45689</v>
      </c>
      <c r="U3" s="260">
        <v>45717</v>
      </c>
      <c r="V3" s="260">
        <v>45748</v>
      </c>
      <c r="W3" s="260">
        <v>45778</v>
      </c>
      <c r="X3" s="260">
        <v>45809</v>
      </c>
      <c r="Y3" s="260">
        <v>45839</v>
      </c>
      <c r="Z3" s="260">
        <v>45870</v>
      </c>
      <c r="AA3" s="260">
        <v>45901</v>
      </c>
      <c r="AB3" s="5" t="s">
        <v>2023</v>
      </c>
    </row>
    <row r="4" spans="1:28">
      <c r="A4" s="37" t="s">
        <v>2024</v>
      </c>
      <c r="B4" s="37" t="s">
        <v>28</v>
      </c>
      <c r="C4" s="37" t="s">
        <v>71</v>
      </c>
      <c r="D4" s="37">
        <v>20</v>
      </c>
      <c r="E4" s="37">
        <v>0</v>
      </c>
      <c r="F4" s="261">
        <v>7320</v>
      </c>
      <c r="G4" s="261"/>
      <c r="H4" s="262"/>
      <c r="I4" s="262"/>
      <c r="J4" s="262"/>
      <c r="K4" s="262"/>
      <c r="L4" s="262"/>
      <c r="M4" s="262"/>
      <c r="N4" s="262"/>
      <c r="O4" s="262"/>
      <c r="P4" s="262"/>
      <c r="Q4" s="262"/>
      <c r="R4" s="262"/>
      <c r="S4" s="262"/>
      <c r="T4" s="262"/>
      <c r="U4" s="37"/>
      <c r="V4" s="37"/>
      <c r="W4" s="37"/>
      <c r="X4" s="37"/>
      <c r="Y4" s="37"/>
      <c r="Z4" s="37"/>
      <c r="AA4" s="37"/>
      <c r="AB4" t="s">
        <v>2025</v>
      </c>
    </row>
    <row r="5" spans="1:28">
      <c r="A5" s="37" t="s">
        <v>2024</v>
      </c>
      <c r="B5" s="37" t="s">
        <v>76</v>
      </c>
      <c r="C5" s="37" t="s">
        <v>71</v>
      </c>
      <c r="D5" s="37">
        <v>20</v>
      </c>
      <c r="E5" s="37">
        <v>2</v>
      </c>
      <c r="F5" s="261">
        <v>9000</v>
      </c>
      <c r="G5" s="261"/>
      <c r="H5" s="37"/>
      <c r="I5" s="37"/>
      <c r="J5" s="37"/>
      <c r="K5" s="37"/>
      <c r="L5" s="37"/>
      <c r="M5" s="37"/>
      <c r="N5" s="37"/>
      <c r="O5" s="37"/>
      <c r="P5" s="37"/>
      <c r="Q5" s="37"/>
      <c r="R5" s="37"/>
      <c r="S5" s="37"/>
      <c r="T5" s="37"/>
      <c r="U5" s="37"/>
      <c r="V5" s="37"/>
      <c r="W5" s="37"/>
      <c r="X5" s="263"/>
      <c r="Y5" s="263"/>
      <c r="Z5" s="263"/>
      <c r="AA5" s="263"/>
      <c r="AB5" t="s">
        <v>2026</v>
      </c>
    </row>
    <row r="6" spans="1:28">
      <c r="A6" s="37" t="s">
        <v>31</v>
      </c>
      <c r="B6" s="37" t="s">
        <v>28</v>
      </c>
      <c r="C6" s="37" t="s">
        <v>34</v>
      </c>
      <c r="D6" s="37">
        <v>20</v>
      </c>
      <c r="E6" s="37">
        <v>14</v>
      </c>
      <c r="F6" s="261">
        <v>4000</v>
      </c>
      <c r="G6" s="261"/>
      <c r="H6" s="262"/>
      <c r="I6" s="262"/>
      <c r="J6" s="262"/>
      <c r="K6" s="262"/>
      <c r="L6" s="262"/>
      <c r="M6" s="262"/>
      <c r="N6" s="262"/>
      <c r="O6" s="262"/>
      <c r="P6" s="262"/>
      <c r="Q6" s="262"/>
      <c r="R6" s="262"/>
      <c r="S6" s="262"/>
      <c r="T6" s="262"/>
      <c r="U6" s="37"/>
      <c r="V6" s="37"/>
      <c r="W6" s="37"/>
      <c r="X6" s="37"/>
      <c r="Y6" s="37"/>
      <c r="Z6" s="37"/>
      <c r="AA6" s="37"/>
    </row>
    <row r="7" spans="1:28">
      <c r="A7" s="37" t="s">
        <v>31</v>
      </c>
      <c r="B7" s="37" t="s">
        <v>28</v>
      </c>
      <c r="C7" s="37" t="s">
        <v>34</v>
      </c>
      <c r="D7" s="37">
        <v>20</v>
      </c>
      <c r="E7" s="37">
        <v>14</v>
      </c>
      <c r="F7" s="261">
        <v>4000</v>
      </c>
      <c r="G7" s="261"/>
      <c r="H7" s="37"/>
      <c r="I7" s="37"/>
      <c r="J7" s="37"/>
      <c r="K7" s="37"/>
      <c r="L7" s="37"/>
      <c r="M7" s="37"/>
      <c r="N7" s="37"/>
      <c r="O7" s="37"/>
      <c r="P7" s="37"/>
      <c r="Q7" s="37"/>
      <c r="R7" s="37"/>
      <c r="S7" s="37"/>
      <c r="T7" s="37"/>
      <c r="U7" s="262"/>
      <c r="V7" s="262"/>
      <c r="W7" s="262"/>
      <c r="X7" s="262"/>
      <c r="Y7" s="262"/>
      <c r="Z7" s="262"/>
      <c r="AA7" s="262"/>
      <c r="AB7" t="s">
        <v>2027</v>
      </c>
    </row>
    <row r="8" spans="1:28">
      <c r="A8" s="37" t="s">
        <v>2028</v>
      </c>
      <c r="B8" s="37" t="s">
        <v>421</v>
      </c>
      <c r="C8" s="37" t="s">
        <v>407</v>
      </c>
      <c r="D8" s="37" t="s">
        <v>82</v>
      </c>
      <c r="E8" s="37" t="s">
        <v>82</v>
      </c>
      <c r="F8" s="261">
        <v>14000</v>
      </c>
      <c r="G8" s="261"/>
      <c r="H8" s="37"/>
      <c r="I8" s="37"/>
      <c r="J8" s="37"/>
      <c r="K8" s="37"/>
      <c r="L8" s="37"/>
      <c r="M8" s="37"/>
      <c r="N8" s="264"/>
      <c r="O8" s="264"/>
      <c r="P8" s="264"/>
      <c r="Q8" s="37"/>
      <c r="R8" s="37"/>
      <c r="S8" s="37"/>
      <c r="T8" s="37"/>
      <c r="U8" s="37"/>
      <c r="V8" s="37"/>
      <c r="W8" s="37"/>
      <c r="X8" s="37"/>
      <c r="Y8" s="37"/>
      <c r="Z8" s="37"/>
      <c r="AA8" s="37"/>
      <c r="AB8" t="s">
        <v>2029</v>
      </c>
    </row>
    <row r="9" spans="1:28">
      <c r="A9" s="37" t="s">
        <v>2030</v>
      </c>
      <c r="B9" s="37" t="s">
        <v>28</v>
      </c>
      <c r="C9" s="37" t="s">
        <v>62</v>
      </c>
      <c r="D9" s="37">
        <v>20</v>
      </c>
      <c r="E9" s="37">
        <v>8</v>
      </c>
      <c r="F9" s="261">
        <v>4995</v>
      </c>
      <c r="G9" s="261"/>
      <c r="H9" s="37"/>
      <c r="I9" s="37"/>
      <c r="J9" s="37"/>
      <c r="K9" s="37"/>
      <c r="L9" s="262"/>
      <c r="M9" s="262"/>
      <c r="N9" s="262"/>
      <c r="O9" s="262"/>
      <c r="P9" s="262"/>
      <c r="Q9" s="262"/>
      <c r="R9" s="262"/>
      <c r="S9" s="262"/>
      <c r="T9" s="262"/>
      <c r="U9" s="262"/>
      <c r="V9" s="262"/>
      <c r="W9" s="262"/>
      <c r="X9" s="262"/>
      <c r="Y9" s="37"/>
      <c r="Z9" s="37"/>
      <c r="AA9" s="37"/>
    </row>
    <row r="10" spans="1:28">
      <c r="A10" s="37" t="s">
        <v>2030</v>
      </c>
      <c r="B10" s="37" t="s">
        <v>28</v>
      </c>
      <c r="C10" s="37" t="s">
        <v>62</v>
      </c>
      <c r="D10" s="37">
        <v>20</v>
      </c>
      <c r="E10" s="37">
        <v>8</v>
      </c>
      <c r="F10" s="261">
        <v>4995</v>
      </c>
      <c r="G10" s="261"/>
      <c r="H10" s="37"/>
      <c r="I10" s="37"/>
      <c r="J10" s="37"/>
      <c r="K10" s="37"/>
      <c r="L10" s="37"/>
      <c r="M10" s="37"/>
      <c r="N10" s="37"/>
      <c r="O10" s="37"/>
      <c r="P10" s="37"/>
      <c r="Q10" s="37"/>
      <c r="R10" s="37"/>
      <c r="S10" s="37"/>
      <c r="T10" s="37"/>
      <c r="U10" s="37"/>
      <c r="V10" s="37"/>
      <c r="W10" s="37"/>
      <c r="X10" s="37"/>
      <c r="Y10" s="262"/>
      <c r="Z10" s="262"/>
      <c r="AA10" s="262"/>
      <c r="AB10" t="s">
        <v>2031</v>
      </c>
    </row>
    <row r="11" spans="1:28">
      <c r="A11" s="37" t="s">
        <v>2032</v>
      </c>
      <c r="B11" s="37" t="s">
        <v>664</v>
      </c>
      <c r="C11" s="37" t="s">
        <v>71</v>
      </c>
      <c r="D11" s="37" t="s">
        <v>82</v>
      </c>
      <c r="E11" s="37" t="s">
        <v>82</v>
      </c>
      <c r="F11" s="261">
        <v>10600</v>
      </c>
      <c r="G11" s="261"/>
      <c r="H11" s="37"/>
      <c r="I11" s="37"/>
      <c r="J11" s="37"/>
      <c r="K11" s="37"/>
      <c r="L11" s="37"/>
      <c r="M11" s="99"/>
      <c r="N11" s="99"/>
      <c r="O11" s="99"/>
      <c r="P11" s="99"/>
      <c r="Q11" s="99"/>
      <c r="R11" s="99"/>
      <c r="S11" s="99"/>
      <c r="T11" s="99"/>
      <c r="U11" s="99"/>
      <c r="V11" s="99"/>
      <c r="W11" s="99"/>
      <c r="X11" s="99"/>
      <c r="Y11" s="99"/>
      <c r="Z11" s="37"/>
      <c r="AA11" s="37"/>
      <c r="AB11" t="s">
        <v>2033</v>
      </c>
    </row>
    <row r="12" spans="1:28">
      <c r="A12" s="37" t="s">
        <v>79</v>
      </c>
      <c r="B12" s="37" t="s">
        <v>76</v>
      </c>
      <c r="C12" s="37" t="s">
        <v>80</v>
      </c>
      <c r="D12" s="37">
        <v>50</v>
      </c>
      <c r="E12" s="37">
        <v>50</v>
      </c>
      <c r="F12" s="261">
        <v>30000</v>
      </c>
      <c r="G12" s="261"/>
      <c r="H12" s="37"/>
      <c r="I12" s="37"/>
      <c r="J12" s="37"/>
      <c r="K12" s="37"/>
      <c r="L12" s="37"/>
      <c r="M12" s="37"/>
      <c r="N12" s="37"/>
      <c r="O12" s="37"/>
      <c r="P12" s="37"/>
      <c r="Q12" s="263"/>
      <c r="R12" s="263"/>
      <c r="S12" s="263"/>
      <c r="T12" s="263"/>
      <c r="U12" s="263"/>
      <c r="V12" s="263"/>
      <c r="W12" s="263"/>
      <c r="X12" s="263"/>
      <c r="Y12" s="263"/>
      <c r="Z12" s="263"/>
      <c r="AA12" s="263"/>
      <c r="AB12" t="s">
        <v>2034</v>
      </c>
    </row>
    <row r="13" spans="1:28">
      <c r="A13" s="37" t="s">
        <v>2035</v>
      </c>
      <c r="B13" s="37" t="s">
        <v>28</v>
      </c>
      <c r="C13" s="37" t="s">
        <v>34</v>
      </c>
      <c r="D13" s="37">
        <v>20</v>
      </c>
      <c r="E13" s="37">
        <v>20</v>
      </c>
      <c r="F13" s="261">
        <v>6800</v>
      </c>
      <c r="G13" s="261"/>
      <c r="H13" s="37"/>
      <c r="I13" s="37"/>
      <c r="J13" s="37"/>
      <c r="K13" s="37"/>
      <c r="L13" s="37"/>
      <c r="M13" s="37"/>
      <c r="N13" s="37"/>
      <c r="O13" s="37"/>
      <c r="P13" s="37"/>
      <c r="Q13" s="37"/>
      <c r="R13" s="262"/>
      <c r="S13" s="262"/>
      <c r="T13" s="262"/>
      <c r="U13" s="262"/>
      <c r="V13" s="262"/>
      <c r="W13" s="262"/>
      <c r="X13" s="262"/>
      <c r="Y13" s="262"/>
      <c r="Z13" s="262"/>
      <c r="AA13" s="262"/>
    </row>
    <row r="14" spans="1:28">
      <c r="A14" s="37" t="s">
        <v>119</v>
      </c>
      <c r="B14" s="37" t="s">
        <v>28</v>
      </c>
      <c r="C14" s="37" t="s">
        <v>71</v>
      </c>
      <c r="D14" s="37">
        <v>20</v>
      </c>
      <c r="E14" s="37">
        <v>2</v>
      </c>
      <c r="F14" s="261">
        <v>6800</v>
      </c>
      <c r="G14" s="261"/>
      <c r="H14" s="37"/>
      <c r="I14" s="37"/>
      <c r="J14" s="37"/>
      <c r="K14" s="37"/>
      <c r="L14" s="37"/>
      <c r="M14" s="37"/>
      <c r="N14" s="37"/>
      <c r="O14" s="37"/>
      <c r="P14" s="37"/>
      <c r="Q14" s="37"/>
      <c r="R14" s="37"/>
      <c r="S14" s="37"/>
      <c r="T14" s="37"/>
      <c r="U14" s="262"/>
      <c r="V14" s="262"/>
      <c r="W14" s="262"/>
      <c r="X14" s="262"/>
      <c r="Y14" s="262"/>
      <c r="Z14" s="262"/>
      <c r="AA14" s="262"/>
      <c r="AB14" t="s">
        <v>2036</v>
      </c>
    </row>
    <row r="15" spans="1:28">
      <c r="A15" s="37" t="s">
        <v>2037</v>
      </c>
      <c r="B15" s="37" t="s">
        <v>28</v>
      </c>
      <c r="C15" s="37" t="s">
        <v>46</v>
      </c>
      <c r="D15" s="37">
        <v>20</v>
      </c>
      <c r="E15" s="37">
        <v>9</v>
      </c>
      <c r="F15" s="261">
        <v>8160</v>
      </c>
      <c r="G15" s="261"/>
      <c r="H15" s="37"/>
      <c r="I15" s="37"/>
      <c r="J15" s="37"/>
      <c r="K15" s="37"/>
      <c r="L15" s="37"/>
      <c r="M15" s="37"/>
      <c r="N15" s="37"/>
      <c r="O15" s="37"/>
      <c r="P15" s="37"/>
      <c r="Q15" s="37"/>
      <c r="R15" s="37"/>
      <c r="S15" s="262"/>
      <c r="T15" s="262"/>
      <c r="U15" s="262"/>
      <c r="V15" s="262"/>
      <c r="W15" s="262"/>
      <c r="X15" s="262"/>
      <c r="Y15" s="262"/>
      <c r="Z15" s="262"/>
      <c r="AA15" s="262"/>
    </row>
    <row r="16" spans="1:28">
      <c r="A16" s="37" t="s">
        <v>2038</v>
      </c>
      <c r="B16" s="37" t="s">
        <v>421</v>
      </c>
      <c r="C16" s="37" t="s">
        <v>364</v>
      </c>
      <c r="D16" s="37" t="s">
        <v>82</v>
      </c>
      <c r="E16" s="37" t="s">
        <v>82</v>
      </c>
      <c r="F16" s="261">
        <v>10000</v>
      </c>
      <c r="G16" s="261"/>
      <c r="H16" s="37"/>
      <c r="I16" s="37"/>
      <c r="J16" s="37"/>
      <c r="K16" s="37"/>
      <c r="L16" s="37"/>
      <c r="M16" s="37"/>
      <c r="N16" s="37"/>
      <c r="O16" s="37"/>
      <c r="P16" s="37"/>
      <c r="Q16" s="37"/>
      <c r="R16" s="37"/>
      <c r="S16" s="264"/>
      <c r="T16" s="264"/>
      <c r="U16" s="264"/>
      <c r="V16" s="264"/>
      <c r="W16" s="264"/>
      <c r="X16" s="37"/>
      <c r="Y16" s="37"/>
      <c r="Z16" s="37"/>
      <c r="AA16" s="37"/>
    </row>
    <row r="17" spans="1:28">
      <c r="A17" s="37" t="s">
        <v>52</v>
      </c>
      <c r="B17" s="37" t="s">
        <v>421</v>
      </c>
      <c r="C17" s="37" t="s">
        <v>163</v>
      </c>
      <c r="D17" s="37" t="s">
        <v>82</v>
      </c>
      <c r="E17" s="37" t="s">
        <v>82</v>
      </c>
      <c r="F17" s="261">
        <v>140</v>
      </c>
      <c r="G17" s="261"/>
      <c r="H17" s="37"/>
      <c r="I17" s="37"/>
      <c r="J17" s="37"/>
      <c r="K17" s="37"/>
      <c r="L17" s="37"/>
      <c r="M17" s="37"/>
      <c r="N17" s="37"/>
      <c r="O17" s="37"/>
      <c r="P17" s="37"/>
      <c r="Q17" s="37"/>
      <c r="R17" s="37"/>
      <c r="S17" s="37"/>
      <c r="T17" s="37"/>
      <c r="U17" s="37"/>
      <c r="V17" s="264"/>
      <c r="W17" s="37"/>
      <c r="X17" s="37"/>
      <c r="Y17" s="37"/>
      <c r="Z17" s="37"/>
      <c r="AA17" s="37"/>
    </row>
    <row r="18" spans="1:28">
      <c r="A18" s="37" t="s">
        <v>2039</v>
      </c>
      <c r="B18" s="37" t="s">
        <v>2040</v>
      </c>
      <c r="C18" s="37" t="s">
        <v>100</v>
      </c>
      <c r="D18" s="37" t="s">
        <v>82</v>
      </c>
      <c r="E18" s="37" t="s">
        <v>82</v>
      </c>
      <c r="F18" s="261">
        <f>SUM(3900*2)</f>
        <v>7800</v>
      </c>
      <c r="G18" s="261"/>
      <c r="H18" s="37"/>
      <c r="I18" s="37"/>
      <c r="J18" s="37"/>
      <c r="K18" s="37"/>
      <c r="L18" s="37"/>
      <c r="M18" s="37"/>
      <c r="N18" s="37"/>
      <c r="O18" s="37"/>
      <c r="P18" s="37"/>
      <c r="Q18" s="37"/>
      <c r="R18" s="37"/>
      <c r="S18" s="37"/>
      <c r="T18" s="37"/>
      <c r="U18" s="37"/>
      <c r="V18" s="37"/>
      <c r="W18" s="265"/>
      <c r="X18" s="265"/>
      <c r="Y18" s="265"/>
      <c r="Z18" s="265"/>
      <c r="AA18" s="265"/>
      <c r="AB18" t="s">
        <v>2041</v>
      </c>
    </row>
    <row r="19" spans="1:28">
      <c r="A19" s="37" t="s">
        <v>2042</v>
      </c>
      <c r="B19" s="37" t="s">
        <v>421</v>
      </c>
      <c r="C19" s="37" t="s">
        <v>46</v>
      </c>
      <c r="D19" s="37">
        <v>20</v>
      </c>
      <c r="E19" s="37">
        <v>2</v>
      </c>
      <c r="F19" s="261">
        <v>8000</v>
      </c>
      <c r="G19" s="261"/>
      <c r="H19" s="37"/>
      <c r="I19" s="37"/>
      <c r="J19" s="37"/>
      <c r="K19" s="37"/>
      <c r="L19" s="37"/>
      <c r="M19" s="37"/>
      <c r="N19" s="37"/>
      <c r="O19" s="37"/>
      <c r="P19" s="37"/>
      <c r="Q19" s="37"/>
      <c r="R19" s="37"/>
      <c r="S19" s="37"/>
      <c r="T19" s="37"/>
      <c r="U19" s="37"/>
      <c r="V19" s="37"/>
      <c r="W19" s="37"/>
      <c r="X19" s="37"/>
      <c r="Y19" s="262"/>
      <c r="Z19" s="262"/>
      <c r="AA19" s="262"/>
    </row>
    <row r="20" spans="1:28">
      <c r="A20" s="37" t="s">
        <v>2042</v>
      </c>
      <c r="B20" s="37" t="s">
        <v>2043</v>
      </c>
      <c r="C20" s="37" t="s">
        <v>46</v>
      </c>
      <c r="D20" s="37" t="s">
        <v>82</v>
      </c>
      <c r="E20" s="37" t="s">
        <v>82</v>
      </c>
      <c r="F20" s="261">
        <v>77264</v>
      </c>
      <c r="G20" s="261"/>
      <c r="H20" s="37"/>
      <c r="I20" s="37"/>
      <c r="J20" s="37"/>
      <c r="K20" s="37"/>
      <c r="L20" s="37"/>
      <c r="M20" s="37"/>
      <c r="N20" s="37"/>
      <c r="O20" s="37"/>
      <c r="P20" s="37"/>
      <c r="Q20" s="37"/>
      <c r="R20" s="37"/>
      <c r="S20" s="37"/>
      <c r="T20" s="37"/>
      <c r="U20" s="37"/>
      <c r="V20" s="37"/>
      <c r="W20" s="37"/>
      <c r="X20" s="37"/>
      <c r="Y20" s="266"/>
      <c r="Z20" s="266"/>
      <c r="AA20" s="266"/>
      <c r="AB20" t="s">
        <v>2043</v>
      </c>
    </row>
    <row r="21" spans="1:28">
      <c r="A21" s="37" t="s">
        <v>85</v>
      </c>
      <c r="B21" s="37" t="s">
        <v>28</v>
      </c>
      <c r="C21" s="37" t="s">
        <v>86</v>
      </c>
      <c r="D21" s="37">
        <v>20</v>
      </c>
      <c r="E21" s="37">
        <v>3</v>
      </c>
      <c r="F21" s="261">
        <v>7800</v>
      </c>
      <c r="G21" s="261"/>
      <c r="H21" s="37"/>
      <c r="I21" s="37"/>
      <c r="J21" s="37"/>
      <c r="K21" s="37"/>
      <c r="L21" s="37"/>
      <c r="M21" s="37"/>
      <c r="N21" s="37"/>
      <c r="O21" s="37"/>
      <c r="P21" s="37"/>
      <c r="Q21" s="37"/>
      <c r="R21" s="37"/>
      <c r="S21" s="37"/>
      <c r="T21" s="37"/>
      <c r="U21" s="37"/>
      <c r="V21" s="37"/>
      <c r="W21" s="37"/>
      <c r="X21" s="37"/>
      <c r="Y21" s="37"/>
      <c r="Z21" s="262"/>
      <c r="AA21" s="262"/>
    </row>
    <row r="22" spans="1:28">
      <c r="A22" s="37" t="s">
        <v>115</v>
      </c>
      <c r="B22" s="37" t="s">
        <v>28</v>
      </c>
      <c r="C22" s="37" t="s">
        <v>46</v>
      </c>
      <c r="D22" s="37">
        <v>20</v>
      </c>
      <c r="E22" s="37">
        <v>2</v>
      </c>
      <c r="F22" s="261">
        <v>5850</v>
      </c>
      <c r="G22" s="261"/>
      <c r="H22" s="37"/>
      <c r="I22" s="37"/>
      <c r="J22" s="37"/>
      <c r="K22" s="37"/>
      <c r="L22" s="37"/>
      <c r="M22" s="37"/>
      <c r="N22" s="37"/>
      <c r="O22" s="37"/>
      <c r="P22" s="37"/>
      <c r="Q22" s="37"/>
      <c r="R22" s="37"/>
      <c r="S22" s="37"/>
      <c r="T22" s="37"/>
      <c r="U22" s="37"/>
      <c r="V22" s="37"/>
      <c r="W22" s="37"/>
      <c r="X22" s="37"/>
      <c r="Y22" s="37"/>
      <c r="Z22" s="37"/>
      <c r="AA22" s="262"/>
    </row>
    <row r="23" spans="1:28">
      <c r="F23" s="258"/>
      <c r="G23" s="258"/>
    </row>
    <row r="24" spans="1:28">
      <c r="F24" s="258"/>
      <c r="G24" s="258"/>
    </row>
    <row r="25" spans="1:28">
      <c r="F25" s="258"/>
      <c r="G25" s="258"/>
    </row>
    <row r="26" spans="1:28">
      <c r="F26" s="258"/>
      <c r="G26" s="258"/>
    </row>
    <row r="27" spans="1:28">
      <c r="F27" s="258"/>
      <c r="G27" s="258"/>
    </row>
    <row r="28" spans="1:28">
      <c r="F28" s="258"/>
      <c r="G28" s="258"/>
    </row>
    <row r="29" spans="1:28">
      <c r="F29" s="258"/>
      <c r="G29" s="258"/>
    </row>
    <row r="30" spans="1:28">
      <c r="F30" s="258"/>
      <c r="G30" s="258"/>
    </row>
    <row r="31" spans="1:28">
      <c r="F31" s="258"/>
      <c r="G31" s="258"/>
    </row>
    <row r="32" spans="1:28">
      <c r="F32" s="258"/>
      <c r="G32" s="258"/>
    </row>
    <row r="33" spans="6:7">
      <c r="F33" s="258"/>
      <c r="G33" s="258"/>
    </row>
    <row r="34" spans="6:7">
      <c r="F34" s="258"/>
      <c r="G34" s="258"/>
    </row>
    <row r="35" spans="6:7">
      <c r="F35" s="258"/>
      <c r="G35" s="258"/>
    </row>
    <row r="36" spans="6:7">
      <c r="F36" s="258"/>
      <c r="G36" s="258"/>
    </row>
    <row r="37" spans="6:7">
      <c r="F37" s="258"/>
      <c r="G37" s="258"/>
    </row>
    <row r="38" spans="6:7">
      <c r="F38" s="258"/>
      <c r="G38" s="258"/>
    </row>
    <row r="39" spans="6:7">
      <c r="F39" s="258"/>
      <c r="G39" s="258"/>
    </row>
    <row r="40" spans="6:7">
      <c r="F40" s="258"/>
      <c r="G40" s="258"/>
    </row>
    <row r="41" spans="6:7">
      <c r="F41" s="258"/>
      <c r="G41" s="25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F23B2-3A91-7F4B-8970-54874F37E3DC}">
  <dimension ref="A1:V64"/>
  <sheetViews>
    <sheetView topLeftCell="C9" zoomScale="116" workbookViewId="0">
      <selection activeCell="C10" sqref="C10"/>
    </sheetView>
  </sheetViews>
  <sheetFormatPr defaultColWidth="10.875" defaultRowHeight="15.95"/>
  <cols>
    <col min="1" max="1" width="37.375" style="4" bestFit="1" customWidth="1"/>
    <col min="2" max="2" width="15.875" style="4" customWidth="1"/>
    <col min="3" max="3" width="9.125" style="4" customWidth="1"/>
    <col min="4" max="4" width="12.125" style="4" customWidth="1"/>
    <col min="5" max="5" width="48" style="4" customWidth="1"/>
    <col min="6" max="6" width="10.875" style="4"/>
    <col min="7" max="7" width="10.125" style="4" customWidth="1"/>
    <col min="8" max="8" width="42.625" style="4" customWidth="1"/>
    <col min="9" max="9" width="19" style="4" bestFit="1" customWidth="1"/>
    <col min="10" max="10" width="16.875" style="4" bestFit="1" customWidth="1"/>
    <col min="11" max="11" width="22.625" style="4" customWidth="1"/>
    <col min="12" max="12" width="10.875" style="4"/>
    <col min="13" max="13" width="18.875" style="4" customWidth="1"/>
    <col min="14" max="16" width="10.875" style="4"/>
    <col min="17" max="17" width="25.375" style="4" customWidth="1"/>
    <col min="18" max="18" width="10.875" style="4"/>
    <col min="19" max="19" width="27.125" style="4" customWidth="1"/>
    <col min="20" max="16384" width="10.875" style="4"/>
  </cols>
  <sheetData>
    <row r="1" spans="1:22" ht="17.100000000000001">
      <c r="A1" s="135" t="s">
        <v>2044</v>
      </c>
      <c r="B1" s="135"/>
      <c r="C1" s="135"/>
      <c r="D1" s="135"/>
      <c r="E1" s="135"/>
      <c r="F1" s="135"/>
      <c r="G1" s="135"/>
      <c r="H1" s="135"/>
    </row>
    <row r="2" spans="1:22" ht="51">
      <c r="A2" s="174" t="s">
        <v>2045</v>
      </c>
      <c r="B2" s="30"/>
      <c r="C2" s="30"/>
      <c r="D2" s="30"/>
      <c r="E2" s="30" t="s">
        <v>2046</v>
      </c>
    </row>
    <row r="3" spans="1:22" ht="33.950000000000003">
      <c r="A3" s="174" t="s">
        <v>2047</v>
      </c>
      <c r="B3" s="30"/>
      <c r="C3" s="30" t="s">
        <v>82</v>
      </c>
      <c r="D3" s="30"/>
      <c r="E3" s="30" t="s">
        <v>2048</v>
      </c>
    </row>
    <row r="4" spans="1:22" ht="17.100000000000001">
      <c r="A4" s="135" t="s">
        <v>2049</v>
      </c>
      <c r="B4" s="135"/>
      <c r="C4" s="332" t="s">
        <v>2050</v>
      </c>
      <c r="D4" s="332"/>
      <c r="E4" s="136"/>
      <c r="F4" s="13"/>
      <c r="G4" s="13"/>
      <c r="H4" s="13"/>
      <c r="I4" s="13"/>
      <c r="J4" s="13"/>
      <c r="K4" s="13"/>
      <c r="L4" s="13"/>
    </row>
    <row r="5" spans="1:22" s="173" customFormat="1" ht="51">
      <c r="A5" s="169" t="s">
        <v>2019</v>
      </c>
      <c r="B5" s="170" t="s">
        <v>2051</v>
      </c>
      <c r="C5" s="171" t="s">
        <v>2052</v>
      </c>
      <c r="D5" s="171" t="s">
        <v>2053</v>
      </c>
      <c r="E5" s="170" t="s">
        <v>2023</v>
      </c>
      <c r="F5" s="171" t="s">
        <v>2054</v>
      </c>
      <c r="G5" s="171" t="s">
        <v>2055</v>
      </c>
      <c r="H5" s="171" t="s">
        <v>2056</v>
      </c>
      <c r="I5" s="172"/>
      <c r="J5" s="172"/>
      <c r="K5" s="172"/>
      <c r="L5" s="172"/>
    </row>
    <row r="6" spans="1:22" s="174" customFormat="1" ht="84.95">
      <c r="A6" s="174" t="s">
        <v>28</v>
      </c>
      <c r="B6" s="175" t="s">
        <v>2057</v>
      </c>
      <c r="C6" s="123">
        <v>40</v>
      </c>
      <c r="D6" s="123">
        <v>3000</v>
      </c>
      <c r="E6" s="175" t="s">
        <v>2058</v>
      </c>
      <c r="F6" s="176" t="s">
        <v>2059</v>
      </c>
      <c r="G6" s="176" t="s">
        <v>2060</v>
      </c>
      <c r="H6" s="175" t="s">
        <v>2061</v>
      </c>
      <c r="I6" s="175"/>
      <c r="J6" s="175"/>
      <c r="K6" s="175"/>
      <c r="L6" s="175"/>
    </row>
    <row r="7" spans="1:22" s="174" customFormat="1" ht="84.95">
      <c r="A7" s="174" t="s">
        <v>76</v>
      </c>
      <c r="B7" s="175" t="s">
        <v>2062</v>
      </c>
      <c r="C7" s="123">
        <v>3000</v>
      </c>
      <c r="D7" s="123" t="s">
        <v>2063</v>
      </c>
      <c r="E7" s="175" t="s">
        <v>2064</v>
      </c>
      <c r="F7" s="176" t="s">
        <v>2065</v>
      </c>
      <c r="G7" s="176" t="s">
        <v>2066</v>
      </c>
      <c r="H7" s="175"/>
      <c r="I7" s="175"/>
      <c r="J7" s="175"/>
      <c r="K7" s="175"/>
      <c r="L7" s="175"/>
    </row>
    <row r="8" spans="1:22" s="174" customFormat="1" ht="33.950000000000003">
      <c r="A8" s="174" t="s">
        <v>421</v>
      </c>
      <c r="B8" s="175" t="s">
        <v>2067</v>
      </c>
      <c r="C8" s="175">
        <v>200</v>
      </c>
      <c r="D8" s="123" t="s">
        <v>2063</v>
      </c>
      <c r="E8" s="175" t="s">
        <v>2068</v>
      </c>
      <c r="F8" s="176" t="s">
        <v>2069</v>
      </c>
      <c r="G8" s="176" t="s">
        <v>656</v>
      </c>
      <c r="H8" s="175"/>
      <c r="I8" s="175"/>
      <c r="J8" s="175"/>
      <c r="K8" s="175"/>
      <c r="L8" s="175"/>
    </row>
    <row r="9" spans="1:22" s="174" customFormat="1" ht="17.100000000000001">
      <c r="A9" s="174" t="s">
        <v>1485</v>
      </c>
      <c r="B9" s="175" t="s">
        <v>2070</v>
      </c>
      <c r="C9" s="175">
        <v>40</v>
      </c>
      <c r="D9" s="175">
        <v>200000</v>
      </c>
      <c r="E9" s="175"/>
      <c r="F9" s="176" t="s">
        <v>443</v>
      </c>
      <c r="G9" s="176"/>
      <c r="H9" s="175"/>
      <c r="I9" s="175"/>
      <c r="J9" s="175"/>
      <c r="K9" s="175"/>
      <c r="L9" s="175"/>
    </row>
    <row r="10" spans="1:22" s="174" customFormat="1" ht="51">
      <c r="A10" s="175" t="s">
        <v>740</v>
      </c>
      <c r="B10" s="175" t="s">
        <v>175</v>
      </c>
      <c r="C10" s="175"/>
      <c r="D10" s="175"/>
      <c r="E10" s="175" t="s">
        <v>2071</v>
      </c>
      <c r="F10" s="176" t="s">
        <v>2072</v>
      </c>
      <c r="G10" s="176" t="s">
        <v>2073</v>
      </c>
      <c r="H10" s="175"/>
      <c r="I10" s="175"/>
      <c r="J10" s="175"/>
      <c r="K10" s="175"/>
      <c r="L10" s="175"/>
    </row>
    <row r="11" spans="1:22" s="174" customFormat="1" ht="17.100000000000001">
      <c r="A11" s="175" t="s">
        <v>2074</v>
      </c>
      <c r="B11" s="175" t="s">
        <v>2075</v>
      </c>
      <c r="C11" s="175" t="s">
        <v>2075</v>
      </c>
      <c r="D11" s="175" t="s">
        <v>2075</v>
      </c>
      <c r="E11" s="175"/>
      <c r="F11" s="176"/>
      <c r="G11" s="176"/>
      <c r="H11" s="175"/>
      <c r="I11" s="175"/>
      <c r="J11" s="175"/>
      <c r="K11" s="175"/>
      <c r="L11" s="175"/>
    </row>
    <row r="12" spans="1:22" s="174" customFormat="1">
      <c r="A12" s="175"/>
      <c r="B12" s="175"/>
      <c r="C12" s="175"/>
      <c r="D12" s="175"/>
      <c r="E12" s="175"/>
      <c r="F12" s="176"/>
      <c r="G12" s="176"/>
      <c r="H12" s="175"/>
      <c r="I12" s="175"/>
      <c r="J12" s="175"/>
      <c r="K12" s="175"/>
      <c r="L12" s="175"/>
    </row>
    <row r="13" spans="1:22" s="174" customFormat="1">
      <c r="A13" s="175"/>
      <c r="B13" s="175"/>
      <c r="C13" s="175"/>
      <c r="D13" s="175"/>
      <c r="E13" s="175"/>
      <c r="F13" s="176"/>
      <c r="G13" s="176"/>
      <c r="H13" s="175"/>
      <c r="I13" s="175"/>
      <c r="J13" s="175"/>
      <c r="K13" s="175"/>
      <c r="L13" s="175"/>
    </row>
    <row r="14" spans="1:22">
      <c r="A14" s="11"/>
      <c r="B14" s="11"/>
      <c r="C14" s="11"/>
      <c r="D14" s="11"/>
      <c r="E14" s="11"/>
      <c r="F14" s="137"/>
      <c r="G14" s="137"/>
      <c r="H14" s="11"/>
      <c r="I14" s="11"/>
      <c r="J14" s="11"/>
      <c r="K14" s="11"/>
      <c r="L14" s="11"/>
    </row>
    <row r="15" spans="1:22" ht="17.100000000000001">
      <c r="A15" s="10" t="s">
        <v>2076</v>
      </c>
      <c r="B15" s="10"/>
      <c r="C15" s="10"/>
      <c r="D15" s="13"/>
      <c r="E15" s="13"/>
      <c r="F15" s="13"/>
      <c r="G15" s="13"/>
      <c r="H15" s="13"/>
      <c r="I15" s="13"/>
      <c r="J15" s="13"/>
      <c r="K15" s="13"/>
      <c r="L15" s="13"/>
    </row>
    <row r="16" spans="1:22" s="8" customFormat="1" ht="51">
      <c r="A16" s="8" t="s">
        <v>2077</v>
      </c>
      <c r="B16" s="8" t="s">
        <v>5</v>
      </c>
      <c r="C16" s="8" t="s">
        <v>2078</v>
      </c>
      <c r="D16" s="8" t="s">
        <v>4</v>
      </c>
      <c r="E16" s="8" t="s">
        <v>2023</v>
      </c>
      <c r="F16" s="8" t="s">
        <v>2079</v>
      </c>
      <c r="G16" s="8" t="s">
        <v>2080</v>
      </c>
      <c r="H16" s="8" t="s">
        <v>2081</v>
      </c>
      <c r="I16" s="8" t="s">
        <v>2082</v>
      </c>
      <c r="J16" s="8" t="s">
        <v>2083</v>
      </c>
      <c r="K16" s="8" t="s">
        <v>2084</v>
      </c>
      <c r="L16" s="225" t="s">
        <v>2085</v>
      </c>
      <c r="M16" s="8" t="s">
        <v>2086</v>
      </c>
      <c r="N16" s="8" t="s">
        <v>2087</v>
      </c>
      <c r="O16" s="8" t="s">
        <v>2086</v>
      </c>
      <c r="P16" s="226" t="s">
        <v>2087</v>
      </c>
      <c r="Q16" s="8" t="s">
        <v>2086</v>
      </c>
      <c r="R16" s="8" t="s">
        <v>2087</v>
      </c>
      <c r="S16" s="8" t="s">
        <v>2088</v>
      </c>
      <c r="T16" s="8" t="s">
        <v>2087</v>
      </c>
      <c r="U16" s="8" t="s">
        <v>2088</v>
      </c>
      <c r="V16" s="8" t="s">
        <v>2087</v>
      </c>
    </row>
    <row r="17" spans="1:22" s="30" customFormat="1" ht="17.100000000000001">
      <c r="A17" s="30" t="s">
        <v>2089</v>
      </c>
      <c r="C17" s="177">
        <v>45792</v>
      </c>
      <c r="D17" s="30" t="s">
        <v>2090</v>
      </c>
      <c r="L17" s="8"/>
      <c r="P17" s="8"/>
    </row>
    <row r="18" spans="1:22" s="30" customFormat="1" ht="17.100000000000001">
      <c r="A18" s="4" t="s">
        <v>2091</v>
      </c>
      <c r="B18" s="4"/>
      <c r="C18" s="177">
        <v>45792</v>
      </c>
      <c r="D18" s="4" t="s">
        <v>2092</v>
      </c>
      <c r="E18" s="4" t="s">
        <v>2093</v>
      </c>
      <c r="F18" s="4"/>
      <c r="G18" s="4"/>
      <c r="H18" s="4"/>
      <c r="I18" s="4"/>
      <c r="J18" s="4"/>
      <c r="K18" s="4"/>
    </row>
    <row r="19" spans="1:22" s="30" customFormat="1" ht="17.100000000000001">
      <c r="A19" s="4" t="s">
        <v>2094</v>
      </c>
      <c r="B19" s="4"/>
      <c r="C19" s="177">
        <v>45792</v>
      </c>
      <c r="D19" s="4" t="s">
        <v>2092</v>
      </c>
      <c r="E19" s="4" t="s">
        <v>2095</v>
      </c>
      <c r="F19" s="4"/>
      <c r="G19" s="4"/>
      <c r="H19" s="4"/>
      <c r="I19" s="4"/>
      <c r="J19" s="4"/>
      <c r="K19" s="4"/>
      <c r="L19" s="4"/>
    </row>
    <row r="20" spans="1:22" ht="17.100000000000001">
      <c r="A20" s="4" t="s">
        <v>2096</v>
      </c>
      <c r="C20" s="177">
        <v>45792</v>
      </c>
      <c r="D20" s="4" t="s">
        <v>2090</v>
      </c>
      <c r="P20" s="30"/>
    </row>
    <row r="21" spans="1:22" ht="135.94999999999999">
      <c r="A21" s="4" t="s">
        <v>2097</v>
      </c>
      <c r="C21" s="177">
        <v>45792</v>
      </c>
      <c r="D21" s="4" t="s">
        <v>2092</v>
      </c>
      <c r="E21" s="4" t="s">
        <v>2098</v>
      </c>
      <c r="F21" s="4" t="s">
        <v>2099</v>
      </c>
      <c r="H21" s="4" t="s">
        <v>2100</v>
      </c>
      <c r="I21" s="4" t="s">
        <v>2101</v>
      </c>
      <c r="J21" s="14">
        <v>45826</v>
      </c>
      <c r="K21" s="4" t="s">
        <v>2102</v>
      </c>
      <c r="L21" s="14">
        <v>45847</v>
      </c>
    </row>
    <row r="22" spans="1:22" ht="17.100000000000001">
      <c r="A22" s="4" t="s">
        <v>2103</v>
      </c>
      <c r="C22" s="14">
        <f>C21+7</f>
        <v>45799</v>
      </c>
      <c r="D22" s="4" t="s">
        <v>2090</v>
      </c>
      <c r="E22" s="4" t="s">
        <v>2104</v>
      </c>
    </row>
    <row r="23" spans="1:22" ht="17.100000000000001">
      <c r="A23" s="52" t="s">
        <v>2105</v>
      </c>
      <c r="C23" s="177">
        <v>45799</v>
      </c>
      <c r="D23" s="4" t="s">
        <v>2090</v>
      </c>
    </row>
    <row r="24" spans="1:22" ht="102">
      <c r="A24" s="4" t="s">
        <v>2106</v>
      </c>
      <c r="C24" s="177">
        <v>45799</v>
      </c>
      <c r="D24" s="4" t="s">
        <v>2090</v>
      </c>
      <c r="E24" s="4" t="s">
        <v>2107</v>
      </c>
      <c r="G24" s="14">
        <v>45818</v>
      </c>
      <c r="H24" s="4" t="s">
        <v>2108</v>
      </c>
      <c r="I24" s="4" t="s">
        <v>2109</v>
      </c>
      <c r="J24" s="14">
        <f>G24+7</f>
        <v>45825</v>
      </c>
      <c r="K24" s="4" t="s">
        <v>2110</v>
      </c>
      <c r="M24" s="14" t="s">
        <v>2111</v>
      </c>
      <c r="N24" s="14">
        <v>45831</v>
      </c>
      <c r="O24" s="4" t="s">
        <v>2112</v>
      </c>
      <c r="P24" s="14">
        <v>45826</v>
      </c>
      <c r="Q24" s="14" t="s">
        <v>2113</v>
      </c>
      <c r="R24" s="14">
        <v>45847</v>
      </c>
      <c r="S24" s="4" t="s">
        <v>2114</v>
      </c>
      <c r="T24" s="14">
        <v>45852</v>
      </c>
      <c r="U24" s="4" t="s">
        <v>2115</v>
      </c>
      <c r="V24" s="14">
        <v>45859</v>
      </c>
    </row>
    <row r="25" spans="1:22" ht="68.099999999999994">
      <c r="C25" s="177">
        <v>45831</v>
      </c>
      <c r="D25" s="4" t="s">
        <v>2092</v>
      </c>
      <c r="E25" s="4" t="s">
        <v>2116</v>
      </c>
      <c r="G25" s="14">
        <v>45818</v>
      </c>
      <c r="H25" s="4" t="s">
        <v>2117</v>
      </c>
      <c r="I25" s="4" t="s">
        <v>2109</v>
      </c>
      <c r="J25" s="14">
        <v>45834</v>
      </c>
      <c r="K25" s="4" t="s">
        <v>2118</v>
      </c>
      <c r="L25" s="14">
        <v>45841</v>
      </c>
      <c r="M25" s="14"/>
      <c r="N25" s="14"/>
    </row>
    <row r="26" spans="1:22" ht="102">
      <c r="A26" s="4" t="s">
        <v>2119</v>
      </c>
      <c r="C26" s="177">
        <v>45799</v>
      </c>
      <c r="D26" s="4" t="s">
        <v>2092</v>
      </c>
      <c r="E26" s="4" t="s">
        <v>2120</v>
      </c>
      <c r="H26" s="4" t="s">
        <v>2121</v>
      </c>
      <c r="J26" s="14">
        <v>45820</v>
      </c>
      <c r="K26" s="4" t="s">
        <v>2110</v>
      </c>
      <c r="M26" s="14" t="s">
        <v>2111</v>
      </c>
      <c r="N26" s="14">
        <v>45831</v>
      </c>
      <c r="O26" s="4" t="s">
        <v>2112</v>
      </c>
      <c r="P26" s="14">
        <v>45826</v>
      </c>
      <c r="Q26" s="4" t="s">
        <v>2122</v>
      </c>
      <c r="R26" s="14">
        <v>45847</v>
      </c>
      <c r="S26" s="4" t="s">
        <v>2114</v>
      </c>
      <c r="T26" s="14">
        <v>45852</v>
      </c>
      <c r="U26" s="4" t="s">
        <v>2115</v>
      </c>
      <c r="V26" s="14">
        <v>45859</v>
      </c>
    </row>
    <row r="27" spans="1:22" ht="102">
      <c r="A27" s="4" t="s">
        <v>2123</v>
      </c>
      <c r="C27" s="177">
        <v>45799</v>
      </c>
      <c r="D27" s="4" t="s">
        <v>2092</v>
      </c>
      <c r="E27" s="4" t="s">
        <v>2120</v>
      </c>
      <c r="H27" s="4" t="s">
        <v>2124</v>
      </c>
      <c r="J27" s="14">
        <v>45820</v>
      </c>
      <c r="K27" s="4" t="s">
        <v>2110</v>
      </c>
      <c r="M27" s="14" t="s">
        <v>2111</v>
      </c>
      <c r="N27" s="14">
        <v>45831</v>
      </c>
      <c r="O27" s="4" t="s">
        <v>2112</v>
      </c>
      <c r="P27" s="14">
        <v>45826</v>
      </c>
      <c r="Q27" s="4" t="s">
        <v>2125</v>
      </c>
      <c r="R27" s="14">
        <v>45847</v>
      </c>
      <c r="S27" s="235" t="s">
        <v>2114</v>
      </c>
      <c r="T27" s="14">
        <v>45852</v>
      </c>
      <c r="U27" s="4" t="s">
        <v>2115</v>
      </c>
      <c r="V27" s="14">
        <v>45859</v>
      </c>
    </row>
    <row r="28" spans="1:22" ht="102">
      <c r="A28" s="4" t="s">
        <v>2126</v>
      </c>
      <c r="C28" s="177">
        <v>45799</v>
      </c>
      <c r="D28" s="4" t="s">
        <v>2092</v>
      </c>
      <c r="H28" s="4" t="s">
        <v>2127</v>
      </c>
      <c r="I28" s="4" t="s">
        <v>2109</v>
      </c>
      <c r="J28" s="14">
        <v>45834</v>
      </c>
      <c r="K28" s="4" t="s">
        <v>2128</v>
      </c>
      <c r="L28" s="14">
        <v>45840</v>
      </c>
      <c r="M28" s="4" t="s">
        <v>2129</v>
      </c>
      <c r="N28" s="14">
        <v>45841</v>
      </c>
      <c r="O28" s="4" t="s">
        <v>2130</v>
      </c>
      <c r="P28" s="14">
        <v>45841</v>
      </c>
      <c r="Q28" s="14" t="s">
        <v>2118</v>
      </c>
      <c r="R28" s="14">
        <v>45841</v>
      </c>
      <c r="S28" s="235" t="s">
        <v>2114</v>
      </c>
      <c r="T28" s="14">
        <v>45852</v>
      </c>
      <c r="U28" s="4" t="s">
        <v>2115</v>
      </c>
      <c r="V28" s="14">
        <v>45859</v>
      </c>
    </row>
    <row r="29" spans="1:22" ht="17.100000000000001">
      <c r="A29" s="4" t="s">
        <v>2131</v>
      </c>
      <c r="C29" s="14">
        <v>45803</v>
      </c>
      <c r="D29" s="4" t="s">
        <v>2092</v>
      </c>
      <c r="E29" s="4" t="s">
        <v>2132</v>
      </c>
      <c r="I29" s="235" t="s">
        <v>2114</v>
      </c>
      <c r="J29" s="14">
        <v>45852</v>
      </c>
    </row>
    <row r="30" spans="1:22" ht="17.100000000000001">
      <c r="A30" s="4" t="s">
        <v>76</v>
      </c>
      <c r="C30" s="14">
        <v>45831</v>
      </c>
      <c r="D30" s="4" t="s">
        <v>2092</v>
      </c>
      <c r="E30" s="4" t="s">
        <v>2133</v>
      </c>
      <c r="I30" s="235" t="s">
        <v>2114</v>
      </c>
      <c r="J30" s="14">
        <v>45852</v>
      </c>
    </row>
    <row r="31" spans="1:22" ht="17.100000000000001">
      <c r="A31" s="4" t="s">
        <v>2134</v>
      </c>
      <c r="C31" s="14">
        <f>C29</f>
        <v>45803</v>
      </c>
      <c r="I31" s="235" t="s">
        <v>2114</v>
      </c>
      <c r="J31" s="14">
        <v>45852</v>
      </c>
    </row>
    <row r="32" spans="1:22" ht="17.100000000000001">
      <c r="A32" s="4" t="s">
        <v>2135</v>
      </c>
      <c r="C32" s="14">
        <f>C31+7</f>
        <v>45810</v>
      </c>
      <c r="E32" s="4" t="s">
        <v>2136</v>
      </c>
    </row>
    <row r="33" spans="1:20">
      <c r="F33" s="30"/>
      <c r="G33" s="30"/>
      <c r="H33" s="30"/>
      <c r="I33" s="30"/>
      <c r="J33" s="30"/>
      <c r="K33" s="30"/>
    </row>
    <row r="34" spans="1:20" s="8" customFormat="1" ht="17.100000000000001">
      <c r="A34" s="8" t="s">
        <v>2137</v>
      </c>
      <c r="L34" s="30"/>
      <c r="P34" s="4"/>
    </row>
    <row r="35" spans="1:20" ht="102">
      <c r="A35" s="4" t="s">
        <v>2138</v>
      </c>
      <c r="C35" s="14">
        <f>C22</f>
        <v>45799</v>
      </c>
      <c r="D35" s="4" t="s">
        <v>2139</v>
      </c>
      <c r="E35" s="4" t="s">
        <v>2140</v>
      </c>
      <c r="F35" s="4" t="s">
        <v>2141</v>
      </c>
      <c r="G35" s="4" t="s">
        <v>2142</v>
      </c>
      <c r="H35" s="4" t="s">
        <v>2143</v>
      </c>
      <c r="I35" s="4" t="s">
        <v>2139</v>
      </c>
      <c r="J35" s="14">
        <v>45831</v>
      </c>
      <c r="K35" s="4" t="s">
        <v>2144</v>
      </c>
      <c r="L35" s="227">
        <v>45840</v>
      </c>
      <c r="M35" s="4" t="s">
        <v>2145</v>
      </c>
      <c r="N35" s="14">
        <v>45841</v>
      </c>
      <c r="O35" s="4" t="s">
        <v>2146</v>
      </c>
      <c r="P35" s="227">
        <v>45849</v>
      </c>
      <c r="Q35" s="4" t="s">
        <v>2147</v>
      </c>
      <c r="R35" s="14">
        <v>45852</v>
      </c>
      <c r="S35" s="4" t="s">
        <v>2148</v>
      </c>
      <c r="T35" s="14">
        <v>45859</v>
      </c>
    </row>
    <row r="36" spans="1:20" ht="68.099999999999994">
      <c r="C36" s="14"/>
      <c r="J36" s="14"/>
      <c r="L36" s="227"/>
      <c r="N36" s="14"/>
      <c r="P36" s="227"/>
      <c r="R36" s="14"/>
      <c r="S36" s="4" t="s">
        <v>2149</v>
      </c>
      <c r="T36" s="14">
        <v>45862</v>
      </c>
    </row>
    <row r="37" spans="1:20" ht="33.950000000000003">
      <c r="A37" s="4" t="s">
        <v>2150</v>
      </c>
      <c r="C37" s="14">
        <f>C35</f>
        <v>45799</v>
      </c>
      <c r="D37" s="4" t="s">
        <v>2151</v>
      </c>
    </row>
    <row r="38" spans="1:20" ht="17.100000000000001">
      <c r="A38" s="4" t="s">
        <v>2152</v>
      </c>
      <c r="C38" s="14">
        <f>C37</f>
        <v>45799</v>
      </c>
      <c r="D38" s="4" t="s">
        <v>2090</v>
      </c>
    </row>
    <row r="39" spans="1:20" ht="17.100000000000001">
      <c r="A39" s="4" t="s">
        <v>2153</v>
      </c>
      <c r="C39" s="14">
        <v>45821</v>
      </c>
      <c r="D39" s="4" t="s">
        <v>2092</v>
      </c>
    </row>
    <row r="40" spans="1:20">
      <c r="C40" s="14"/>
    </row>
    <row r="41" spans="1:20" s="8" customFormat="1" ht="17.100000000000001">
      <c r="A41" s="8" t="s">
        <v>2154</v>
      </c>
      <c r="L41" s="4"/>
      <c r="P41" s="4"/>
    </row>
    <row r="42" spans="1:20" ht="17.100000000000001">
      <c r="A42" s="4" t="s">
        <v>2155</v>
      </c>
      <c r="C42" s="14">
        <f>C38+7</f>
        <v>45806</v>
      </c>
      <c r="L42" s="8"/>
      <c r="P42" s="8"/>
    </row>
    <row r="43" spans="1:20" ht="17.100000000000001">
      <c r="A43" s="4" t="s">
        <v>2156</v>
      </c>
      <c r="C43" s="14">
        <f>C42</f>
        <v>45806</v>
      </c>
    </row>
    <row r="44" spans="1:20">
      <c r="E44" s="183"/>
      <c r="F44" s="183"/>
    </row>
    <row r="45" spans="1:20" ht="17.100000000000001">
      <c r="A45" s="8" t="s">
        <v>2157</v>
      </c>
    </row>
    <row r="46" spans="1:20" ht="17.100000000000001">
      <c r="A46" s="4" t="s">
        <v>2158</v>
      </c>
      <c r="C46" s="14">
        <f>C43+7</f>
        <v>45813</v>
      </c>
    </row>
    <row r="48" spans="1:20" ht="17.100000000000001">
      <c r="A48" s="8" t="s">
        <v>2159</v>
      </c>
    </row>
    <row r="49" spans="1:12" ht="17.100000000000001">
      <c r="A49" s="4" t="s">
        <v>2160</v>
      </c>
      <c r="B49" s="4" t="s">
        <v>2161</v>
      </c>
      <c r="C49" s="14">
        <f>C46</f>
        <v>45813</v>
      </c>
    </row>
    <row r="52" spans="1:12" ht="17.100000000000001">
      <c r="A52" s="4" t="s">
        <v>2162</v>
      </c>
    </row>
    <row r="53" spans="1:12" ht="17.100000000000001">
      <c r="A53" s="4" t="s">
        <v>2163</v>
      </c>
      <c r="C53" s="14">
        <v>45912</v>
      </c>
      <c r="D53" s="4" t="s">
        <v>2092</v>
      </c>
      <c r="E53" s="14" t="s">
        <v>2164</v>
      </c>
    </row>
    <row r="54" spans="1:12">
      <c r="E54" s="14"/>
    </row>
    <row r="55" spans="1:12">
      <c r="E55" s="14"/>
    </row>
    <row r="56" spans="1:12" ht="17.100000000000001">
      <c r="A56" s="8" t="s">
        <v>2165</v>
      </c>
      <c r="E56" s="14"/>
    </row>
    <row r="57" spans="1:12" ht="17.100000000000001">
      <c r="A57" s="4" t="s">
        <v>2166</v>
      </c>
      <c r="D57" s="4" t="s">
        <v>2139</v>
      </c>
      <c r="E57" s="14"/>
    </row>
    <row r="58" spans="1:12" ht="17.100000000000001">
      <c r="A58" s="4" t="s">
        <v>2167</v>
      </c>
      <c r="D58" s="4" t="s">
        <v>2092</v>
      </c>
      <c r="E58" s="14" t="s">
        <v>2168</v>
      </c>
    </row>
    <row r="59" spans="1:12" ht="17.100000000000001">
      <c r="A59" s="4" t="s">
        <v>2169</v>
      </c>
      <c r="D59" s="4" t="s">
        <v>2170</v>
      </c>
      <c r="E59" s="14"/>
    </row>
    <row r="60" spans="1:12">
      <c r="E60" s="14"/>
    </row>
    <row r="61" spans="1:12">
      <c r="E61" s="14"/>
    </row>
    <row r="62" spans="1:12">
      <c r="E62" s="14"/>
    </row>
    <row r="63" spans="1:12" ht="17.100000000000001">
      <c r="A63" s="12" t="s">
        <v>2171</v>
      </c>
      <c r="B63" s="12"/>
      <c r="C63" s="12"/>
      <c r="D63" s="15"/>
      <c r="E63" s="15"/>
      <c r="F63" s="15"/>
      <c r="G63" s="15"/>
      <c r="H63" s="15"/>
      <c r="I63" s="15"/>
      <c r="J63" s="15"/>
      <c r="K63" s="15"/>
    </row>
    <row r="64" spans="1:12" ht="17.100000000000001">
      <c r="A64" s="8" t="s">
        <v>2172</v>
      </c>
      <c r="B64" s="8"/>
      <c r="C64" s="8"/>
      <c r="D64" s="8" t="s">
        <v>2173</v>
      </c>
      <c r="E64" s="8" t="s">
        <v>2174</v>
      </c>
      <c r="L64" s="15"/>
    </row>
  </sheetData>
  <autoFilter ref="A16:K16" xr:uid="{462F23B2-3A91-7F4B-8970-54874F37E3DC}">
    <sortState xmlns:xlrd2="http://schemas.microsoft.com/office/spreadsheetml/2017/richdata2" ref="A17:K32">
      <sortCondition ref="C16:C32"/>
    </sortState>
  </autoFilter>
  <mergeCells count="1">
    <mergeCell ref="C4:D4"/>
  </mergeCells>
  <conditionalFormatting sqref="J4:J15 F16 G17:G20 F21 G22:G40 G42:G52 J53:J1048576">
    <cfRule type="containsText" dxfId="5" priority="1" operator="containsText" text="provide">
      <formula>NOT(ISERROR(SEARCH("provide",F4)))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E8AE2-748C-D941-B662-CAA9FE7B857F}">
  <dimension ref="A2:N179"/>
  <sheetViews>
    <sheetView topLeftCell="M3" workbookViewId="0">
      <selection activeCell="M3" sqref="M3:N3"/>
    </sheetView>
  </sheetViews>
  <sheetFormatPr defaultColWidth="10.875" defaultRowHeight="15"/>
  <cols>
    <col min="1" max="1" width="10.875" style="185"/>
    <col min="2" max="2" width="22.375" style="185" customWidth="1"/>
    <col min="3" max="3" width="28.875" style="184" bestFit="1" customWidth="1"/>
    <col min="4" max="4" width="25.625" style="184" customWidth="1"/>
    <col min="5" max="5" width="22.875" style="184" customWidth="1"/>
    <col min="6" max="6" width="20.625" style="184" customWidth="1"/>
    <col min="7" max="7" width="23.875" style="184" customWidth="1"/>
    <col min="8" max="8" width="24" style="184" customWidth="1"/>
    <col min="9" max="9" width="22.5" style="184" customWidth="1"/>
    <col min="10" max="10" width="22.125" style="184" customWidth="1"/>
    <col min="11" max="14" width="10.875" style="184"/>
    <col min="15" max="16384" width="10.875" style="185"/>
  </cols>
  <sheetData>
    <row r="2" spans="1:14" ht="18">
      <c r="A2" s="186" t="s">
        <v>2175</v>
      </c>
      <c r="B2" s="186"/>
      <c r="C2" s="187"/>
      <c r="D2" s="187"/>
      <c r="E2" s="187"/>
      <c r="F2" s="187"/>
      <c r="G2" s="187"/>
      <c r="H2" s="187"/>
      <c r="I2" s="187"/>
      <c r="J2" s="187"/>
      <c r="K2" s="187"/>
      <c r="L2" s="187"/>
      <c r="M2" s="187"/>
      <c r="N2" s="187"/>
    </row>
    <row r="3" spans="1:14">
      <c r="B3" s="190" t="s">
        <v>2176</v>
      </c>
      <c r="C3" s="336" t="s">
        <v>2177</v>
      </c>
      <c r="D3" s="336"/>
      <c r="E3" s="336" t="s">
        <v>2178</v>
      </c>
      <c r="F3" s="336"/>
      <c r="G3" s="336" t="s">
        <v>2179</v>
      </c>
      <c r="H3" s="336"/>
      <c r="I3" s="336" t="s">
        <v>2180</v>
      </c>
      <c r="J3" s="336"/>
      <c r="K3" s="336" t="s">
        <v>2181</v>
      </c>
      <c r="L3" s="336"/>
      <c r="M3" s="336" t="s">
        <v>2182</v>
      </c>
      <c r="N3" s="336"/>
    </row>
    <row r="4" spans="1:14">
      <c r="B4" s="190" t="s">
        <v>2183</v>
      </c>
      <c r="C4" s="335">
        <v>45791</v>
      </c>
      <c r="D4" s="335"/>
      <c r="E4" s="335">
        <v>45825</v>
      </c>
      <c r="F4" s="335"/>
      <c r="G4" s="335">
        <f t="shared" ref="G4" si="0">E4+7</f>
        <v>45832</v>
      </c>
      <c r="H4" s="335"/>
      <c r="I4" s="335">
        <f t="shared" ref="I4" si="1">G4+7</f>
        <v>45839</v>
      </c>
      <c r="J4" s="335"/>
      <c r="K4" s="335">
        <f t="shared" ref="K4" si="2">I4+7</f>
        <v>45846</v>
      </c>
      <c r="L4" s="335"/>
      <c r="M4" s="335">
        <f t="shared" ref="M4" si="3">K4+7</f>
        <v>45853</v>
      </c>
      <c r="N4" s="335"/>
    </row>
    <row r="5" spans="1:14" ht="15.95">
      <c r="C5" s="188" t="s">
        <v>2019</v>
      </c>
      <c r="D5" s="189" t="s">
        <v>2184</v>
      </c>
      <c r="E5" s="188" t="s">
        <v>2019</v>
      </c>
      <c r="F5" s="189" t="s">
        <v>2184</v>
      </c>
      <c r="G5" s="188" t="s">
        <v>2019</v>
      </c>
      <c r="H5" s="189" t="s">
        <v>2184</v>
      </c>
      <c r="I5" s="188" t="s">
        <v>2019</v>
      </c>
      <c r="J5" s="189" t="s">
        <v>2184</v>
      </c>
      <c r="K5" s="188" t="s">
        <v>2019</v>
      </c>
      <c r="L5" s="189" t="s">
        <v>2184</v>
      </c>
      <c r="M5" s="188" t="s">
        <v>2019</v>
      </c>
      <c r="N5" s="189" t="s">
        <v>2184</v>
      </c>
    </row>
    <row r="6" spans="1:14">
      <c r="B6" s="190" t="s">
        <v>2185</v>
      </c>
    </row>
    <row r="7" spans="1:14" ht="48">
      <c r="B7" s="191" t="s">
        <v>2186</v>
      </c>
      <c r="C7" s="184" t="s">
        <v>1485</v>
      </c>
      <c r="D7" s="184" t="s">
        <v>2187</v>
      </c>
      <c r="M7" s="184" t="s">
        <v>28</v>
      </c>
      <c r="N7" s="184" t="s">
        <v>2188</v>
      </c>
    </row>
    <row r="8" spans="1:14" ht="320.10000000000002">
      <c r="B8" s="191" t="s">
        <v>2189</v>
      </c>
      <c r="D8" s="184" t="s">
        <v>2190</v>
      </c>
      <c r="N8" s="184" t="s">
        <v>2191</v>
      </c>
    </row>
    <row r="10" spans="1:14">
      <c r="B10" s="190" t="s">
        <v>2192</v>
      </c>
    </row>
    <row r="11" spans="1:14" ht="48">
      <c r="B11" s="191" t="s">
        <v>2193</v>
      </c>
      <c r="E11" s="184" t="s">
        <v>2194</v>
      </c>
      <c r="F11" s="184" t="s">
        <v>2195</v>
      </c>
      <c r="G11" s="184" t="s">
        <v>138</v>
      </c>
      <c r="H11" s="184" t="s">
        <v>2196</v>
      </c>
      <c r="I11" s="184" t="s">
        <v>28</v>
      </c>
      <c r="J11" s="184" t="s">
        <v>2197</v>
      </c>
    </row>
    <row r="12" spans="1:14" ht="80.099999999999994">
      <c r="B12" s="191" t="s">
        <v>2189</v>
      </c>
      <c r="E12" s="208"/>
      <c r="F12" s="184" t="s">
        <v>2198</v>
      </c>
      <c r="G12" s="208"/>
      <c r="H12" s="184" t="s">
        <v>2199</v>
      </c>
      <c r="J12" s="184" t="s">
        <v>2200</v>
      </c>
    </row>
    <row r="13" spans="1:14" ht="15" customHeight="1">
      <c r="B13" s="191" t="s">
        <v>2193</v>
      </c>
      <c r="E13" s="184" t="s">
        <v>2201</v>
      </c>
      <c r="F13" s="184" t="s">
        <v>2202</v>
      </c>
      <c r="G13" s="184" t="s">
        <v>138</v>
      </c>
      <c r="H13" s="184" t="s">
        <v>2203</v>
      </c>
    </row>
    <row r="14" spans="1:14" ht="63.95">
      <c r="B14" s="191" t="s">
        <v>2189</v>
      </c>
      <c r="E14" s="208"/>
      <c r="F14" s="184" t="s">
        <v>2204</v>
      </c>
      <c r="G14" s="208"/>
      <c r="H14" s="184" t="s">
        <v>2205</v>
      </c>
    </row>
    <row r="15" spans="1:14" ht="15.95">
      <c r="B15" s="191" t="s">
        <v>2193</v>
      </c>
      <c r="G15" s="184" t="s">
        <v>138</v>
      </c>
      <c r="H15" s="184" t="s">
        <v>2206</v>
      </c>
    </row>
    <row r="16" spans="1:14" ht="80.099999999999994">
      <c r="B16" s="191" t="s">
        <v>2189</v>
      </c>
      <c r="G16" s="208"/>
      <c r="H16" s="184" t="s">
        <v>2207</v>
      </c>
    </row>
    <row r="17" spans="2:8">
      <c r="B17" s="190" t="s">
        <v>2208</v>
      </c>
    </row>
    <row r="18" spans="2:8" ht="63.95">
      <c r="B18" s="191" t="s">
        <v>2209</v>
      </c>
      <c r="G18" s="184" t="s">
        <v>2210</v>
      </c>
      <c r="H18" s="184" t="s">
        <v>2211</v>
      </c>
    </row>
    <row r="19" spans="2:8" ht="48">
      <c r="B19" s="191" t="s">
        <v>2212</v>
      </c>
      <c r="G19" s="208"/>
      <c r="H19" s="184" t="s">
        <v>2213</v>
      </c>
    </row>
    <row r="21" spans="2:8">
      <c r="B21" s="190" t="s">
        <v>2214</v>
      </c>
    </row>
    <row r="22" spans="2:8">
      <c r="B22" s="191" t="s">
        <v>2184</v>
      </c>
    </row>
    <row r="23" spans="2:8">
      <c r="B23" s="191" t="s">
        <v>2212</v>
      </c>
    </row>
    <row r="25" spans="2:8">
      <c r="B25" s="190" t="s">
        <v>2215</v>
      </c>
    </row>
    <row r="26" spans="2:8">
      <c r="B26" s="191" t="s">
        <v>2184</v>
      </c>
    </row>
    <row r="27" spans="2:8">
      <c r="B27" s="191" t="s">
        <v>2212</v>
      </c>
    </row>
    <row r="29" spans="2:8">
      <c r="B29" s="190" t="s">
        <v>2216</v>
      </c>
    </row>
    <row r="30" spans="2:8">
      <c r="B30" s="191" t="s">
        <v>2184</v>
      </c>
    </row>
    <row r="31" spans="2:8">
      <c r="B31" s="191" t="s">
        <v>2212</v>
      </c>
    </row>
    <row r="34" spans="1:14" ht="18">
      <c r="A34" s="192" t="s">
        <v>2217</v>
      </c>
      <c r="B34" s="192"/>
      <c r="C34" s="193"/>
      <c r="D34" s="193"/>
      <c r="E34" s="193"/>
      <c r="F34" s="193"/>
      <c r="G34" s="193"/>
      <c r="H34" s="193"/>
      <c r="I34" s="193"/>
      <c r="J34" s="193"/>
      <c r="K34" s="193"/>
      <c r="L34" s="193"/>
      <c r="M34" s="193"/>
      <c r="N34" s="193"/>
    </row>
    <row r="35" spans="1:14" ht="15.95">
      <c r="B35" s="190" t="s">
        <v>2218</v>
      </c>
      <c r="C35" s="326" t="s">
        <v>2219</v>
      </c>
      <c r="D35" s="326">
        <v>0.4</v>
      </c>
      <c r="E35" s="326" t="s">
        <v>2220</v>
      </c>
      <c r="F35" s="326"/>
      <c r="G35" s="326"/>
      <c r="H35" s="326"/>
      <c r="I35" s="326"/>
      <c r="J35" s="326"/>
      <c r="K35" s="326"/>
      <c r="L35" s="326"/>
      <c r="M35" s="326"/>
      <c r="N35" s="326"/>
    </row>
    <row r="36" spans="1:14" ht="15.95">
      <c r="B36" s="190" t="s">
        <v>2183</v>
      </c>
      <c r="C36" s="327">
        <v>45778</v>
      </c>
      <c r="D36" s="327" t="s">
        <v>2221</v>
      </c>
      <c r="E36" s="327" t="s">
        <v>2221</v>
      </c>
      <c r="F36" s="327"/>
      <c r="G36" s="327"/>
      <c r="H36" s="327"/>
      <c r="I36" s="327"/>
      <c r="J36" s="327"/>
      <c r="K36" s="327"/>
      <c r="L36" s="327"/>
      <c r="M36" s="327"/>
      <c r="N36" s="327"/>
    </row>
    <row r="37" spans="1:14" ht="15.95">
      <c r="C37" s="188" t="s">
        <v>2184</v>
      </c>
      <c r="D37" s="189"/>
      <c r="E37" s="188"/>
      <c r="F37" s="189"/>
      <c r="G37" s="188"/>
      <c r="H37" s="189"/>
      <c r="I37" s="188"/>
      <c r="J37" s="189"/>
      <c r="K37" s="188"/>
      <c r="L37" s="189"/>
      <c r="M37" s="188"/>
      <c r="N37" s="189"/>
    </row>
    <row r="38" spans="1:14">
      <c r="B38" s="190" t="s">
        <v>2185</v>
      </c>
    </row>
    <row r="39" spans="1:14" ht="32.1">
      <c r="B39" s="191" t="s">
        <v>2186</v>
      </c>
      <c r="C39" s="184" t="s">
        <v>2222</v>
      </c>
    </row>
    <row r="40" spans="1:14">
      <c r="B40" s="191" t="s">
        <v>2189</v>
      </c>
    </row>
    <row r="42" spans="1:14">
      <c r="B42" s="190" t="s">
        <v>2192</v>
      </c>
    </row>
    <row r="43" spans="1:14" ht="63.95">
      <c r="B43" s="191" t="s">
        <v>2193</v>
      </c>
      <c r="C43" s="184" t="s">
        <v>2223</v>
      </c>
    </row>
    <row r="44" spans="1:14" ht="48">
      <c r="B44" s="191" t="s">
        <v>2189</v>
      </c>
      <c r="C44" s="184" t="s">
        <v>2224</v>
      </c>
    </row>
    <row r="46" spans="1:14">
      <c r="B46" s="190" t="s">
        <v>2208</v>
      </c>
    </row>
    <row r="47" spans="1:14">
      <c r="B47" s="191" t="s">
        <v>2209</v>
      </c>
    </row>
    <row r="48" spans="1:14">
      <c r="B48" s="191" t="s">
        <v>2212</v>
      </c>
    </row>
    <row r="50" spans="1:14">
      <c r="B50" s="190" t="s">
        <v>2214</v>
      </c>
    </row>
    <row r="51" spans="1:14">
      <c r="B51" s="191" t="s">
        <v>2184</v>
      </c>
    </row>
    <row r="52" spans="1:14">
      <c r="B52" s="191" t="s">
        <v>2212</v>
      </c>
    </row>
    <row r="54" spans="1:14">
      <c r="B54" s="190" t="s">
        <v>2215</v>
      </c>
    </row>
    <row r="55" spans="1:14">
      <c r="B55" s="191" t="s">
        <v>2184</v>
      </c>
    </row>
    <row r="56" spans="1:14">
      <c r="B56" s="191" t="s">
        <v>2212</v>
      </c>
    </row>
    <row r="58" spans="1:14">
      <c r="B58" s="190" t="s">
        <v>2216</v>
      </c>
    </row>
    <row r="59" spans="1:14" ht="15.95">
      <c r="B59" s="191" t="s">
        <v>2184</v>
      </c>
      <c r="C59" s="184" t="s">
        <v>2225</v>
      </c>
    </row>
    <row r="60" spans="1:14">
      <c r="B60" s="191" t="s">
        <v>2212</v>
      </c>
    </row>
    <row r="62" spans="1:14" ht="18">
      <c r="A62" s="194" t="s">
        <v>2226</v>
      </c>
      <c r="B62" s="194"/>
      <c r="C62" s="195"/>
      <c r="D62" s="195"/>
      <c r="E62" s="195"/>
      <c r="F62" s="195"/>
      <c r="G62" s="195"/>
      <c r="H62" s="195"/>
      <c r="I62" s="195"/>
      <c r="J62" s="195"/>
      <c r="K62" s="195"/>
      <c r="L62" s="195"/>
      <c r="M62" s="195"/>
      <c r="N62" s="195"/>
    </row>
    <row r="63" spans="1:14">
      <c r="C63" s="336" t="s">
        <v>2177</v>
      </c>
      <c r="D63" s="336"/>
      <c r="E63" s="336" t="s">
        <v>2178</v>
      </c>
      <c r="F63" s="336"/>
      <c r="G63" s="336" t="s">
        <v>2179</v>
      </c>
      <c r="H63" s="336"/>
      <c r="I63" s="336" t="s">
        <v>2180</v>
      </c>
      <c r="J63" s="336"/>
      <c r="K63" s="336" t="s">
        <v>2181</v>
      </c>
      <c r="L63" s="336"/>
      <c r="M63" s="336" t="s">
        <v>2182</v>
      </c>
      <c r="N63" s="336"/>
    </row>
    <row r="64" spans="1:14">
      <c r="B64" s="185" t="s">
        <v>2183</v>
      </c>
      <c r="C64" s="335">
        <v>45834</v>
      </c>
      <c r="D64" s="335"/>
      <c r="E64" s="335">
        <f>C64+7</f>
        <v>45841</v>
      </c>
      <c r="F64" s="335"/>
      <c r="G64" s="335">
        <f t="shared" ref="G64" si="4">E64+7</f>
        <v>45848</v>
      </c>
      <c r="H64" s="335"/>
      <c r="I64" s="335">
        <f t="shared" ref="I64" si="5">G64+7</f>
        <v>45855</v>
      </c>
      <c r="J64" s="335"/>
      <c r="K64" s="335">
        <f t="shared" ref="K64" si="6">I64+7</f>
        <v>45862</v>
      </c>
      <c r="L64" s="335"/>
      <c r="M64" s="335">
        <f t="shared" ref="M64" si="7">K64+7</f>
        <v>45869</v>
      </c>
      <c r="N64" s="335"/>
    </row>
    <row r="65" spans="2:14" ht="15.95">
      <c r="C65" s="188" t="s">
        <v>2019</v>
      </c>
      <c r="D65" s="189" t="s">
        <v>2184</v>
      </c>
      <c r="E65" s="188" t="s">
        <v>2019</v>
      </c>
      <c r="F65" s="189" t="s">
        <v>2184</v>
      </c>
      <c r="G65" s="188" t="s">
        <v>2019</v>
      </c>
      <c r="H65" s="189" t="s">
        <v>2184</v>
      </c>
      <c r="I65" s="188" t="s">
        <v>2019</v>
      </c>
      <c r="J65" s="189" t="s">
        <v>2184</v>
      </c>
      <c r="K65" s="188" t="s">
        <v>2019</v>
      </c>
      <c r="L65" s="189" t="s">
        <v>2184</v>
      </c>
      <c r="M65" s="188" t="s">
        <v>2019</v>
      </c>
      <c r="N65" s="189" t="s">
        <v>2184</v>
      </c>
    </row>
    <row r="66" spans="2:14">
      <c r="B66" s="190" t="s">
        <v>2185</v>
      </c>
    </row>
    <row r="67" spans="2:14">
      <c r="B67" s="191" t="s">
        <v>2186</v>
      </c>
    </row>
    <row r="68" spans="2:14">
      <c r="B68" s="191" t="s">
        <v>2189</v>
      </c>
    </row>
    <row r="70" spans="2:14">
      <c r="B70" s="190" t="s">
        <v>2192</v>
      </c>
    </row>
    <row r="71" spans="2:14">
      <c r="B71" s="191" t="s">
        <v>2193</v>
      </c>
    </row>
    <row r="72" spans="2:14">
      <c r="B72" s="191" t="s">
        <v>2189</v>
      </c>
    </row>
    <row r="74" spans="2:14">
      <c r="B74" s="190" t="s">
        <v>2208</v>
      </c>
    </row>
    <row r="75" spans="2:14" ht="63.95">
      <c r="B75" s="191" t="s">
        <v>2209</v>
      </c>
      <c r="C75" s="184" t="s">
        <v>2227</v>
      </c>
      <c r="D75" s="184" t="s">
        <v>2228</v>
      </c>
    </row>
    <row r="76" spans="2:14" ht="96">
      <c r="B76" s="191" t="s">
        <v>2212</v>
      </c>
      <c r="D76" s="184" t="s">
        <v>2229</v>
      </c>
    </row>
    <row r="77" spans="2:14" ht="128.1">
      <c r="B77" s="191" t="s">
        <v>2209</v>
      </c>
      <c r="C77" s="184" t="s">
        <v>2230</v>
      </c>
      <c r="D77" s="184" t="s">
        <v>2231</v>
      </c>
    </row>
    <row r="78" spans="2:14">
      <c r="B78" s="191" t="s">
        <v>2212</v>
      </c>
    </row>
    <row r="79" spans="2:14">
      <c r="B79" s="191"/>
    </row>
    <row r="81" spans="1:14">
      <c r="B81" s="190" t="s">
        <v>2214</v>
      </c>
    </row>
    <row r="82" spans="1:14">
      <c r="B82" s="191" t="s">
        <v>2184</v>
      </c>
    </row>
    <row r="83" spans="1:14">
      <c r="B83" s="191" t="s">
        <v>2212</v>
      </c>
    </row>
    <row r="85" spans="1:14">
      <c r="B85" s="190" t="s">
        <v>2215</v>
      </c>
    </row>
    <row r="86" spans="1:14">
      <c r="B86" s="191" t="s">
        <v>2184</v>
      </c>
    </row>
    <row r="87" spans="1:14">
      <c r="B87" s="191" t="s">
        <v>2212</v>
      </c>
    </row>
    <row r="89" spans="1:14">
      <c r="B89" s="190" t="s">
        <v>2216</v>
      </c>
    </row>
    <row r="90" spans="1:14">
      <c r="B90" s="191" t="s">
        <v>2184</v>
      </c>
    </row>
    <row r="91" spans="1:14">
      <c r="B91" s="191" t="s">
        <v>2212</v>
      </c>
    </row>
    <row r="95" spans="1:14" ht="18">
      <c r="A95" s="196" t="s">
        <v>2232</v>
      </c>
      <c r="B95" s="196"/>
      <c r="C95" s="197"/>
      <c r="D95" s="197"/>
      <c r="E95" s="197"/>
      <c r="F95" s="197"/>
      <c r="G95" s="197"/>
      <c r="H95" s="197"/>
      <c r="I95" s="197"/>
      <c r="J95" s="197"/>
      <c r="K95" s="197"/>
      <c r="L95" s="197"/>
      <c r="M95" s="197"/>
      <c r="N95" s="197"/>
    </row>
    <row r="96" spans="1:14">
      <c r="C96" s="336" t="s">
        <v>2177</v>
      </c>
      <c r="D96" s="336"/>
      <c r="E96" s="336" t="s">
        <v>2178</v>
      </c>
      <c r="F96" s="336"/>
      <c r="G96" s="336" t="s">
        <v>2179</v>
      </c>
      <c r="H96" s="336"/>
      <c r="I96" s="336" t="s">
        <v>2180</v>
      </c>
      <c r="J96" s="336"/>
      <c r="K96" s="336" t="s">
        <v>2181</v>
      </c>
      <c r="L96" s="336"/>
      <c r="M96" s="336" t="s">
        <v>2182</v>
      </c>
      <c r="N96" s="336"/>
    </row>
    <row r="97" spans="2:14">
      <c r="B97" s="185" t="s">
        <v>2183</v>
      </c>
      <c r="C97" s="335">
        <v>45825</v>
      </c>
      <c r="D97" s="335"/>
      <c r="E97" s="335">
        <v>45826</v>
      </c>
      <c r="F97" s="335"/>
      <c r="G97" s="335">
        <v>45827</v>
      </c>
      <c r="H97" s="335"/>
      <c r="I97" s="335">
        <v>45828</v>
      </c>
      <c r="J97" s="335"/>
      <c r="K97" s="335">
        <v>45829</v>
      </c>
      <c r="L97" s="335"/>
      <c r="M97" s="335">
        <v>45830</v>
      </c>
      <c r="N97" s="335"/>
    </row>
    <row r="98" spans="2:14" ht="15.95">
      <c r="C98" s="188" t="s">
        <v>2019</v>
      </c>
      <c r="D98" s="189" t="s">
        <v>2184</v>
      </c>
      <c r="E98" s="188" t="s">
        <v>2019</v>
      </c>
      <c r="F98" s="189" t="s">
        <v>2184</v>
      </c>
      <c r="G98" s="188" t="s">
        <v>2019</v>
      </c>
      <c r="H98" s="189" t="s">
        <v>2184</v>
      </c>
      <c r="I98" s="188" t="s">
        <v>2019</v>
      </c>
      <c r="J98" s="189" t="s">
        <v>2184</v>
      </c>
      <c r="K98" s="188" t="s">
        <v>2019</v>
      </c>
      <c r="L98" s="189" t="s">
        <v>2184</v>
      </c>
      <c r="M98" s="188" t="s">
        <v>2019</v>
      </c>
      <c r="N98" s="189" t="s">
        <v>2184</v>
      </c>
    </row>
    <row r="99" spans="2:14">
      <c r="B99" s="190" t="s">
        <v>2185</v>
      </c>
    </row>
    <row r="100" spans="2:14">
      <c r="B100" s="191" t="s">
        <v>2186</v>
      </c>
    </row>
    <row r="101" spans="2:14">
      <c r="B101" s="191" t="s">
        <v>2189</v>
      </c>
    </row>
    <row r="103" spans="2:14">
      <c r="B103" s="190" t="s">
        <v>2192</v>
      </c>
    </row>
    <row r="104" spans="2:14">
      <c r="B104" s="191" t="s">
        <v>2193</v>
      </c>
    </row>
    <row r="105" spans="2:14">
      <c r="B105" s="191" t="s">
        <v>2189</v>
      </c>
    </row>
    <row r="107" spans="2:14">
      <c r="B107" s="190" t="s">
        <v>2208</v>
      </c>
    </row>
    <row r="108" spans="2:14">
      <c r="B108" s="191" t="s">
        <v>2209</v>
      </c>
    </row>
    <row r="109" spans="2:14">
      <c r="B109" s="191" t="s">
        <v>2212</v>
      </c>
    </row>
    <row r="111" spans="2:14">
      <c r="B111" s="190" t="s">
        <v>2214</v>
      </c>
    </row>
    <row r="112" spans="2:14">
      <c r="B112" s="191" t="s">
        <v>2184</v>
      </c>
    </row>
    <row r="113" spans="1:14">
      <c r="B113" s="191" t="s">
        <v>2212</v>
      </c>
    </row>
    <row r="115" spans="1:14">
      <c r="B115" s="190" t="s">
        <v>2215</v>
      </c>
    </row>
    <row r="116" spans="1:14">
      <c r="B116" s="191" t="s">
        <v>2184</v>
      </c>
    </row>
    <row r="117" spans="1:14">
      <c r="B117" s="191" t="s">
        <v>2212</v>
      </c>
    </row>
    <row r="119" spans="1:14">
      <c r="B119" s="190" t="s">
        <v>2216</v>
      </c>
    </row>
    <row r="120" spans="1:14">
      <c r="B120" s="191" t="s">
        <v>2184</v>
      </c>
    </row>
    <row r="121" spans="1:14">
      <c r="B121" s="191" t="s">
        <v>2212</v>
      </c>
    </row>
    <row r="124" spans="1:14" ht="18">
      <c r="A124" s="198" t="s">
        <v>2233</v>
      </c>
      <c r="B124" s="198"/>
      <c r="C124" s="199"/>
      <c r="D124" s="199"/>
      <c r="E124" s="199"/>
      <c r="F124" s="199"/>
      <c r="G124" s="199"/>
      <c r="H124" s="199"/>
      <c r="I124" s="199"/>
      <c r="J124" s="199"/>
      <c r="K124" s="199"/>
      <c r="L124" s="199"/>
      <c r="M124" s="199"/>
      <c r="N124" s="199"/>
    </row>
    <row r="125" spans="1:14">
      <c r="A125" s="200"/>
      <c r="B125" s="200"/>
      <c r="C125" s="334" t="s">
        <v>2177</v>
      </c>
      <c r="D125" s="334"/>
      <c r="E125" s="334" t="s">
        <v>2178</v>
      </c>
      <c r="F125" s="334"/>
      <c r="G125" s="334" t="s">
        <v>2179</v>
      </c>
      <c r="H125" s="334"/>
      <c r="I125" s="334" t="s">
        <v>2180</v>
      </c>
      <c r="J125" s="334"/>
      <c r="K125" s="334" t="s">
        <v>2181</v>
      </c>
      <c r="L125" s="334"/>
      <c r="M125" s="334" t="s">
        <v>2182</v>
      </c>
      <c r="N125" s="334"/>
    </row>
    <row r="126" spans="1:14">
      <c r="A126" s="200"/>
      <c r="B126" s="200" t="s">
        <v>2183</v>
      </c>
      <c r="C126" s="333">
        <v>45825</v>
      </c>
      <c r="D126" s="333"/>
      <c r="E126" s="333">
        <v>45826</v>
      </c>
      <c r="F126" s="333"/>
      <c r="G126" s="333">
        <v>45827</v>
      </c>
      <c r="H126" s="333"/>
      <c r="I126" s="333">
        <v>45828</v>
      </c>
      <c r="J126" s="333"/>
      <c r="K126" s="333">
        <v>45829</v>
      </c>
      <c r="L126" s="333"/>
      <c r="M126" s="333">
        <v>45830</v>
      </c>
      <c r="N126" s="333"/>
    </row>
    <row r="127" spans="1:14" ht="15.95">
      <c r="A127" s="200"/>
      <c r="B127" s="200"/>
      <c r="C127" s="201" t="s">
        <v>2019</v>
      </c>
      <c r="D127" s="202" t="s">
        <v>2184</v>
      </c>
      <c r="E127" s="201" t="s">
        <v>2019</v>
      </c>
      <c r="F127" s="202" t="s">
        <v>2184</v>
      </c>
      <c r="G127" s="201" t="s">
        <v>2019</v>
      </c>
      <c r="H127" s="202" t="s">
        <v>2184</v>
      </c>
      <c r="I127" s="201" t="s">
        <v>2019</v>
      </c>
      <c r="J127" s="202" t="s">
        <v>2184</v>
      </c>
      <c r="K127" s="201" t="s">
        <v>2019</v>
      </c>
      <c r="L127" s="202" t="s">
        <v>2184</v>
      </c>
      <c r="M127" s="201" t="s">
        <v>2019</v>
      </c>
      <c r="N127" s="202" t="s">
        <v>2184</v>
      </c>
    </row>
    <row r="128" spans="1:14">
      <c r="A128" s="200"/>
      <c r="B128" s="203" t="s">
        <v>2185</v>
      </c>
      <c r="C128" s="204"/>
      <c r="D128" s="204"/>
      <c r="E128" s="204"/>
      <c r="F128" s="204"/>
      <c r="G128" s="204"/>
      <c r="H128" s="204"/>
      <c r="I128" s="204"/>
      <c r="J128" s="204"/>
      <c r="K128" s="204"/>
      <c r="L128" s="204"/>
      <c r="M128" s="204"/>
      <c r="N128" s="204"/>
    </row>
    <row r="129" spans="1:14">
      <c r="A129" s="200"/>
      <c r="B129" s="205" t="s">
        <v>2186</v>
      </c>
      <c r="C129" s="204"/>
      <c r="D129" s="204"/>
      <c r="E129" s="204"/>
      <c r="F129" s="204"/>
      <c r="G129" s="204"/>
      <c r="H129" s="204"/>
      <c r="I129" s="204"/>
      <c r="J129" s="204"/>
      <c r="K129" s="204"/>
      <c r="L129" s="204"/>
      <c r="M129" s="204"/>
      <c r="N129" s="204"/>
    </row>
    <row r="130" spans="1:14">
      <c r="A130" s="200"/>
      <c r="B130" s="205" t="s">
        <v>2189</v>
      </c>
      <c r="C130" s="204"/>
      <c r="D130" s="204"/>
      <c r="E130" s="204"/>
      <c r="F130" s="204"/>
      <c r="G130" s="204"/>
      <c r="H130" s="204"/>
      <c r="I130" s="204"/>
      <c r="J130" s="204"/>
      <c r="K130" s="204"/>
      <c r="L130" s="204"/>
      <c r="M130" s="204"/>
      <c r="N130" s="204"/>
    </row>
    <row r="131" spans="1:14">
      <c r="A131" s="200"/>
      <c r="B131" s="200"/>
      <c r="C131" s="204"/>
      <c r="D131" s="204"/>
      <c r="E131" s="204"/>
      <c r="F131" s="204"/>
      <c r="G131" s="204"/>
      <c r="H131" s="204"/>
      <c r="I131" s="204"/>
      <c r="J131" s="204"/>
      <c r="K131" s="204"/>
      <c r="L131" s="204"/>
      <c r="M131" s="204"/>
      <c r="N131" s="204"/>
    </row>
    <row r="132" spans="1:14">
      <c r="A132" s="200"/>
      <c r="B132" s="203" t="s">
        <v>2192</v>
      </c>
      <c r="C132" s="204"/>
      <c r="D132" s="204"/>
      <c r="E132" s="204"/>
      <c r="F132" s="204"/>
      <c r="G132" s="204"/>
      <c r="H132" s="204"/>
      <c r="I132" s="204"/>
      <c r="J132" s="204"/>
      <c r="K132" s="204"/>
      <c r="L132" s="204"/>
      <c r="M132" s="204"/>
      <c r="N132" s="204"/>
    </row>
    <row r="133" spans="1:14">
      <c r="A133" s="200"/>
      <c r="B133" s="205" t="s">
        <v>2193</v>
      </c>
      <c r="C133" s="204"/>
      <c r="D133" s="204"/>
      <c r="E133" s="204"/>
      <c r="F133" s="204"/>
      <c r="G133" s="204"/>
      <c r="H133" s="204"/>
      <c r="I133" s="204"/>
      <c r="J133" s="204"/>
      <c r="K133" s="204"/>
      <c r="L133" s="204"/>
      <c r="M133" s="204"/>
      <c r="N133" s="204"/>
    </row>
    <row r="134" spans="1:14">
      <c r="A134" s="200"/>
      <c r="B134" s="205" t="s">
        <v>2189</v>
      </c>
      <c r="C134" s="204"/>
      <c r="D134" s="204"/>
      <c r="E134" s="204"/>
      <c r="F134" s="204"/>
      <c r="G134" s="204"/>
      <c r="H134" s="204"/>
      <c r="I134" s="204"/>
      <c r="J134" s="204"/>
      <c r="K134" s="204"/>
      <c r="L134" s="204"/>
      <c r="M134" s="204"/>
      <c r="N134" s="204"/>
    </row>
    <row r="135" spans="1:14">
      <c r="A135" s="200"/>
      <c r="B135" s="200"/>
      <c r="C135" s="204"/>
      <c r="D135" s="204"/>
      <c r="E135" s="204"/>
      <c r="F135" s="204"/>
      <c r="G135" s="204"/>
      <c r="H135" s="204"/>
      <c r="I135" s="204"/>
      <c r="J135" s="204"/>
      <c r="K135" s="204"/>
      <c r="L135" s="204"/>
      <c r="M135" s="204"/>
      <c r="N135" s="204"/>
    </row>
    <row r="136" spans="1:14">
      <c r="A136" s="200"/>
      <c r="B136" s="203" t="s">
        <v>2208</v>
      </c>
      <c r="C136" s="204"/>
      <c r="D136" s="204"/>
      <c r="E136" s="204"/>
      <c r="F136" s="204"/>
      <c r="G136" s="204"/>
      <c r="H136" s="204"/>
      <c r="I136" s="204"/>
      <c r="J136" s="204"/>
      <c r="K136" s="204"/>
      <c r="L136" s="204"/>
      <c r="M136" s="204"/>
      <c r="N136" s="204"/>
    </row>
    <row r="137" spans="1:14">
      <c r="A137" s="200"/>
      <c r="B137" s="205" t="s">
        <v>2209</v>
      </c>
      <c r="C137" s="204"/>
      <c r="D137" s="204"/>
      <c r="E137" s="204"/>
      <c r="F137" s="204"/>
      <c r="G137" s="204"/>
      <c r="H137" s="204"/>
      <c r="I137" s="204"/>
      <c r="J137" s="204"/>
      <c r="K137" s="204"/>
      <c r="L137" s="204"/>
      <c r="M137" s="204"/>
      <c r="N137" s="204"/>
    </row>
    <row r="138" spans="1:14">
      <c r="A138" s="200"/>
      <c r="B138" s="205" t="s">
        <v>2212</v>
      </c>
      <c r="C138" s="204"/>
      <c r="D138" s="204"/>
      <c r="E138" s="204"/>
      <c r="F138" s="204"/>
      <c r="G138" s="204"/>
      <c r="H138" s="204"/>
      <c r="I138" s="204"/>
      <c r="J138" s="204"/>
      <c r="K138" s="204"/>
      <c r="L138" s="204"/>
      <c r="M138" s="204"/>
      <c r="N138" s="204"/>
    </row>
    <row r="139" spans="1:14">
      <c r="A139" s="200"/>
      <c r="B139" s="200"/>
      <c r="C139" s="204"/>
      <c r="D139" s="204"/>
      <c r="E139" s="204"/>
      <c r="F139" s="204"/>
      <c r="G139" s="204"/>
      <c r="H139" s="204"/>
      <c r="I139" s="204"/>
      <c r="J139" s="204"/>
      <c r="K139" s="204"/>
      <c r="L139" s="204"/>
      <c r="M139" s="204"/>
      <c r="N139" s="204"/>
    </row>
    <row r="140" spans="1:14">
      <c r="A140" s="200"/>
      <c r="B140" s="203" t="s">
        <v>2214</v>
      </c>
      <c r="C140" s="204"/>
      <c r="D140" s="204"/>
      <c r="E140" s="204"/>
      <c r="F140" s="204"/>
      <c r="G140" s="204"/>
      <c r="H140" s="204"/>
      <c r="I140" s="204"/>
      <c r="J140" s="204"/>
      <c r="K140" s="204"/>
      <c r="L140" s="204"/>
      <c r="M140" s="204"/>
      <c r="N140" s="204"/>
    </row>
    <row r="141" spans="1:14">
      <c r="A141" s="200"/>
      <c r="B141" s="205" t="s">
        <v>2184</v>
      </c>
      <c r="C141" s="204"/>
      <c r="D141" s="204"/>
      <c r="E141" s="204"/>
      <c r="F141" s="204"/>
      <c r="G141" s="204"/>
      <c r="H141" s="204"/>
      <c r="I141" s="204"/>
      <c r="J141" s="204"/>
      <c r="K141" s="204"/>
      <c r="L141" s="204"/>
      <c r="M141" s="204"/>
      <c r="N141" s="204"/>
    </row>
    <row r="142" spans="1:14">
      <c r="A142" s="200"/>
      <c r="B142" s="205" t="s">
        <v>2212</v>
      </c>
      <c r="C142" s="204"/>
      <c r="D142" s="204"/>
      <c r="E142" s="204"/>
      <c r="F142" s="204"/>
      <c r="G142" s="204"/>
      <c r="H142" s="204"/>
      <c r="I142" s="204"/>
      <c r="J142" s="204"/>
      <c r="K142" s="204"/>
      <c r="L142" s="204"/>
      <c r="M142" s="204"/>
      <c r="N142" s="204"/>
    </row>
    <row r="143" spans="1:14">
      <c r="A143" s="200"/>
      <c r="B143" s="200"/>
      <c r="C143" s="204"/>
      <c r="D143" s="204"/>
      <c r="E143" s="204"/>
      <c r="F143" s="204"/>
      <c r="G143" s="204"/>
      <c r="H143" s="204"/>
      <c r="I143" s="204"/>
      <c r="J143" s="204"/>
      <c r="K143" s="204"/>
      <c r="L143" s="204"/>
      <c r="M143" s="204"/>
      <c r="N143" s="204"/>
    </row>
    <row r="144" spans="1:14">
      <c r="A144" s="200"/>
      <c r="B144" s="203" t="s">
        <v>2215</v>
      </c>
      <c r="C144" s="204"/>
      <c r="D144" s="204"/>
      <c r="E144" s="204"/>
      <c r="F144" s="204"/>
      <c r="G144" s="204"/>
      <c r="H144" s="204"/>
      <c r="I144" s="204"/>
      <c r="J144" s="204"/>
      <c r="K144" s="204"/>
      <c r="L144" s="204"/>
      <c r="M144" s="204"/>
      <c r="N144" s="204"/>
    </row>
    <row r="145" spans="1:14">
      <c r="A145" s="200"/>
      <c r="B145" s="205" t="s">
        <v>2184</v>
      </c>
      <c r="C145" s="204"/>
      <c r="D145" s="204"/>
      <c r="E145" s="204"/>
      <c r="F145" s="204"/>
      <c r="G145" s="204"/>
      <c r="H145" s="204"/>
      <c r="I145" s="204"/>
      <c r="J145" s="204"/>
      <c r="K145" s="204"/>
      <c r="L145" s="204"/>
      <c r="M145" s="204"/>
      <c r="N145" s="204"/>
    </row>
    <row r="146" spans="1:14">
      <c r="A146" s="200"/>
      <c r="B146" s="205" t="s">
        <v>2212</v>
      </c>
      <c r="C146" s="204"/>
      <c r="D146" s="204"/>
      <c r="E146" s="204"/>
      <c r="F146" s="204"/>
      <c r="G146" s="204"/>
      <c r="H146" s="204"/>
      <c r="I146" s="204"/>
      <c r="J146" s="204"/>
      <c r="K146" s="204"/>
      <c r="L146" s="204"/>
      <c r="M146" s="204"/>
      <c r="N146" s="204"/>
    </row>
    <row r="147" spans="1:14">
      <c r="A147" s="200"/>
      <c r="B147" s="200"/>
      <c r="C147" s="204"/>
      <c r="D147" s="204"/>
      <c r="E147" s="204"/>
      <c r="F147" s="204"/>
      <c r="G147" s="204"/>
      <c r="H147" s="204"/>
      <c r="I147" s="204"/>
      <c r="J147" s="204"/>
      <c r="K147" s="204"/>
      <c r="L147" s="204"/>
      <c r="M147" s="204"/>
      <c r="N147" s="204"/>
    </row>
    <row r="148" spans="1:14">
      <c r="A148" s="200"/>
      <c r="B148" s="203" t="s">
        <v>2216</v>
      </c>
      <c r="C148" s="204"/>
      <c r="D148" s="204"/>
      <c r="E148" s="204"/>
      <c r="F148" s="204"/>
      <c r="G148" s="204"/>
      <c r="H148" s="204"/>
      <c r="I148" s="204"/>
      <c r="J148" s="204"/>
      <c r="K148" s="204"/>
      <c r="L148" s="204"/>
      <c r="M148" s="204"/>
      <c r="N148" s="204"/>
    </row>
    <row r="149" spans="1:14">
      <c r="A149" s="200"/>
      <c r="B149" s="205" t="s">
        <v>2184</v>
      </c>
      <c r="C149" s="204"/>
      <c r="D149" s="204"/>
      <c r="E149" s="204"/>
      <c r="F149" s="204"/>
      <c r="G149" s="204"/>
      <c r="H149" s="204"/>
      <c r="I149" s="204"/>
      <c r="J149" s="204"/>
      <c r="K149" s="204"/>
      <c r="L149" s="204"/>
      <c r="M149" s="204"/>
      <c r="N149" s="204"/>
    </row>
    <row r="150" spans="1:14">
      <c r="A150" s="200"/>
      <c r="B150" s="205" t="s">
        <v>2212</v>
      </c>
      <c r="C150" s="204"/>
      <c r="D150" s="204"/>
      <c r="E150" s="204"/>
      <c r="F150" s="204"/>
      <c r="G150" s="204"/>
      <c r="H150" s="204"/>
      <c r="I150" s="204"/>
      <c r="J150" s="204"/>
      <c r="K150" s="204"/>
      <c r="L150" s="204"/>
      <c r="M150" s="204"/>
      <c r="N150" s="204"/>
    </row>
    <row r="153" spans="1:14" ht="18">
      <c r="A153" s="206" t="s">
        <v>2234</v>
      </c>
      <c r="B153" s="206"/>
      <c r="C153" s="207"/>
      <c r="D153" s="207"/>
      <c r="E153" s="207"/>
      <c r="F153" s="207"/>
      <c r="G153" s="207"/>
      <c r="H153" s="207"/>
      <c r="I153" s="207"/>
      <c r="J153" s="207"/>
      <c r="K153" s="207"/>
      <c r="L153" s="207"/>
      <c r="M153" s="207"/>
      <c r="N153" s="207"/>
    </row>
    <row r="154" spans="1:14">
      <c r="A154" s="200"/>
      <c r="B154" s="200"/>
      <c r="C154" s="334" t="s">
        <v>2177</v>
      </c>
      <c r="D154" s="334"/>
      <c r="E154" s="334" t="s">
        <v>2178</v>
      </c>
      <c r="F154" s="334"/>
      <c r="G154" s="334" t="s">
        <v>2179</v>
      </c>
      <c r="H154" s="334"/>
      <c r="I154" s="334" t="s">
        <v>2180</v>
      </c>
      <c r="J154" s="334"/>
      <c r="K154" s="334" t="s">
        <v>2181</v>
      </c>
      <c r="L154" s="334"/>
      <c r="M154" s="334" t="s">
        <v>2182</v>
      </c>
      <c r="N154" s="334"/>
    </row>
    <row r="155" spans="1:14">
      <c r="A155" s="200"/>
      <c r="B155" s="200" t="s">
        <v>2183</v>
      </c>
      <c r="C155" s="333">
        <v>45825</v>
      </c>
      <c r="D155" s="333"/>
      <c r="E155" s="333">
        <v>45826</v>
      </c>
      <c r="F155" s="333"/>
      <c r="G155" s="333">
        <v>45827</v>
      </c>
      <c r="H155" s="333"/>
      <c r="I155" s="333">
        <v>45828</v>
      </c>
      <c r="J155" s="333"/>
      <c r="K155" s="333">
        <v>45829</v>
      </c>
      <c r="L155" s="333"/>
      <c r="M155" s="333">
        <v>45830</v>
      </c>
      <c r="N155" s="333"/>
    </row>
    <row r="156" spans="1:14" ht="15.95">
      <c r="A156" s="200"/>
      <c r="B156" s="200"/>
      <c r="C156" s="201" t="s">
        <v>2019</v>
      </c>
      <c r="D156" s="202" t="s">
        <v>2184</v>
      </c>
      <c r="E156" s="201" t="s">
        <v>2019</v>
      </c>
      <c r="F156" s="202" t="s">
        <v>2184</v>
      </c>
      <c r="G156" s="201" t="s">
        <v>2019</v>
      </c>
      <c r="H156" s="202" t="s">
        <v>2184</v>
      </c>
      <c r="I156" s="201" t="s">
        <v>2019</v>
      </c>
      <c r="J156" s="202" t="s">
        <v>2184</v>
      </c>
      <c r="K156" s="201" t="s">
        <v>2019</v>
      </c>
      <c r="L156" s="202" t="s">
        <v>2184</v>
      </c>
      <c r="M156" s="201" t="s">
        <v>2019</v>
      </c>
      <c r="N156" s="202" t="s">
        <v>2184</v>
      </c>
    </row>
    <row r="157" spans="1:14">
      <c r="A157" s="200"/>
      <c r="B157" s="203" t="s">
        <v>2185</v>
      </c>
      <c r="C157" s="204"/>
      <c r="D157" s="204"/>
      <c r="E157" s="204"/>
      <c r="F157" s="204"/>
      <c r="G157" s="204"/>
      <c r="H157" s="204"/>
      <c r="I157" s="204"/>
      <c r="J157" s="204"/>
      <c r="K157" s="204"/>
      <c r="L157" s="204"/>
      <c r="M157" s="204"/>
      <c r="N157" s="204"/>
    </row>
    <row r="158" spans="1:14">
      <c r="A158" s="200"/>
      <c r="B158" s="205" t="s">
        <v>2186</v>
      </c>
      <c r="C158" s="204"/>
      <c r="D158" s="204"/>
      <c r="E158" s="204"/>
      <c r="F158" s="204"/>
      <c r="G158" s="204"/>
      <c r="H158" s="204"/>
      <c r="I158" s="204"/>
      <c r="J158" s="204"/>
      <c r="K158" s="204"/>
      <c r="L158" s="204"/>
      <c r="M158" s="204"/>
      <c r="N158" s="204"/>
    </row>
    <row r="159" spans="1:14">
      <c r="A159" s="200"/>
      <c r="B159" s="205" t="s">
        <v>2189</v>
      </c>
      <c r="C159" s="204"/>
      <c r="D159" s="204"/>
      <c r="E159" s="204"/>
      <c r="F159" s="204"/>
      <c r="G159" s="204"/>
      <c r="H159" s="204"/>
      <c r="I159" s="204"/>
      <c r="J159" s="204"/>
      <c r="K159" s="204"/>
      <c r="L159" s="204"/>
      <c r="M159" s="204"/>
      <c r="N159" s="204"/>
    </row>
    <row r="160" spans="1:14">
      <c r="A160" s="200"/>
      <c r="B160" s="200"/>
      <c r="C160" s="204"/>
      <c r="D160" s="204"/>
      <c r="E160" s="204"/>
      <c r="F160" s="204"/>
      <c r="G160" s="204"/>
      <c r="H160" s="204"/>
      <c r="I160" s="204"/>
      <c r="J160" s="204"/>
      <c r="K160" s="204"/>
      <c r="L160" s="204"/>
      <c r="M160" s="204"/>
      <c r="N160" s="204"/>
    </row>
    <row r="161" spans="1:14">
      <c r="A161" s="200"/>
      <c r="B161" s="203" t="s">
        <v>2192</v>
      </c>
      <c r="C161" s="204"/>
      <c r="D161" s="204"/>
      <c r="E161" s="204"/>
      <c r="F161" s="204"/>
      <c r="G161" s="204"/>
      <c r="H161" s="204"/>
      <c r="I161" s="204"/>
      <c r="J161" s="204"/>
      <c r="K161" s="204"/>
      <c r="L161" s="204"/>
      <c r="M161" s="204"/>
      <c r="N161" s="204"/>
    </row>
    <row r="162" spans="1:14">
      <c r="A162" s="200"/>
      <c r="B162" s="205" t="s">
        <v>2193</v>
      </c>
      <c r="C162" s="204"/>
      <c r="D162" s="204"/>
      <c r="E162" s="204"/>
      <c r="F162" s="204"/>
      <c r="G162" s="204"/>
      <c r="H162" s="204"/>
      <c r="I162" s="204"/>
      <c r="J162" s="204"/>
      <c r="K162" s="204"/>
      <c r="L162" s="204"/>
      <c r="M162" s="204"/>
      <c r="N162" s="204"/>
    </row>
    <row r="163" spans="1:14">
      <c r="A163" s="200"/>
      <c r="B163" s="205" t="s">
        <v>2189</v>
      </c>
      <c r="C163" s="204"/>
      <c r="D163" s="204"/>
      <c r="E163" s="204"/>
      <c r="F163" s="204"/>
      <c r="G163" s="204"/>
      <c r="H163" s="204"/>
      <c r="I163" s="204"/>
      <c r="J163" s="204"/>
      <c r="K163" s="204"/>
      <c r="L163" s="204"/>
      <c r="M163" s="204"/>
      <c r="N163" s="204"/>
    </row>
    <row r="164" spans="1:14">
      <c r="A164" s="200"/>
      <c r="B164" s="200"/>
      <c r="C164" s="204"/>
      <c r="D164" s="204"/>
      <c r="E164" s="204"/>
      <c r="F164" s="204"/>
      <c r="G164" s="204"/>
      <c r="H164" s="204"/>
      <c r="I164" s="204"/>
      <c r="J164" s="204"/>
      <c r="K164" s="204"/>
      <c r="L164" s="204"/>
      <c r="M164" s="204"/>
      <c r="N164" s="204"/>
    </row>
    <row r="165" spans="1:14">
      <c r="A165" s="200"/>
      <c r="B165" s="203" t="s">
        <v>2208</v>
      </c>
      <c r="C165" s="204"/>
      <c r="D165" s="204"/>
      <c r="E165" s="204"/>
      <c r="F165" s="204"/>
      <c r="G165" s="204"/>
      <c r="H165" s="204"/>
      <c r="I165" s="204"/>
      <c r="J165" s="204"/>
      <c r="K165" s="204"/>
      <c r="L165" s="204"/>
      <c r="M165" s="204"/>
      <c r="N165" s="204"/>
    </row>
    <row r="166" spans="1:14">
      <c r="A166" s="200"/>
      <c r="B166" s="205" t="s">
        <v>2209</v>
      </c>
      <c r="C166" s="204"/>
      <c r="D166" s="204"/>
      <c r="E166" s="204"/>
      <c r="F166" s="204"/>
      <c r="G166" s="204"/>
      <c r="H166" s="204"/>
      <c r="I166" s="204"/>
      <c r="J166" s="204"/>
      <c r="K166" s="204"/>
      <c r="L166" s="204"/>
      <c r="M166" s="204"/>
      <c r="N166" s="204"/>
    </row>
    <row r="167" spans="1:14">
      <c r="A167" s="200"/>
      <c r="B167" s="205" t="s">
        <v>2212</v>
      </c>
      <c r="C167" s="204"/>
      <c r="D167" s="204"/>
      <c r="E167" s="204"/>
      <c r="F167" s="204"/>
      <c r="G167" s="204"/>
      <c r="H167" s="204"/>
      <c r="I167" s="204"/>
      <c r="J167" s="204"/>
      <c r="K167" s="204"/>
      <c r="L167" s="204"/>
      <c r="M167" s="204"/>
      <c r="N167" s="204"/>
    </row>
    <row r="168" spans="1:14">
      <c r="A168" s="200"/>
      <c r="B168" s="200"/>
      <c r="C168" s="204"/>
      <c r="D168" s="204"/>
      <c r="E168" s="204"/>
      <c r="F168" s="204"/>
      <c r="G168" s="204"/>
      <c r="H168" s="204"/>
      <c r="I168" s="204"/>
      <c r="J168" s="204"/>
      <c r="K168" s="204"/>
      <c r="L168" s="204"/>
      <c r="M168" s="204"/>
      <c r="N168" s="204"/>
    </row>
    <row r="169" spans="1:14">
      <c r="A169" s="200"/>
      <c r="B169" s="203" t="s">
        <v>2214</v>
      </c>
      <c r="C169" s="204"/>
      <c r="D169" s="204"/>
      <c r="E169" s="204"/>
      <c r="F169" s="204"/>
      <c r="G169" s="204"/>
      <c r="H169" s="204"/>
      <c r="I169" s="204"/>
      <c r="J169" s="204"/>
      <c r="K169" s="204"/>
      <c r="L169" s="204"/>
      <c r="M169" s="204"/>
      <c r="N169" s="204"/>
    </row>
    <row r="170" spans="1:14">
      <c r="A170" s="200"/>
      <c r="B170" s="205" t="s">
        <v>2184</v>
      </c>
      <c r="C170" s="204"/>
      <c r="D170" s="204"/>
      <c r="E170" s="204"/>
      <c r="F170" s="204"/>
      <c r="G170" s="204"/>
      <c r="H170" s="204"/>
      <c r="I170" s="204"/>
      <c r="J170" s="204"/>
      <c r="K170" s="204"/>
      <c r="L170" s="204"/>
      <c r="M170" s="204"/>
      <c r="N170" s="204"/>
    </row>
    <row r="171" spans="1:14">
      <c r="A171" s="200"/>
      <c r="B171" s="205" t="s">
        <v>2212</v>
      </c>
      <c r="C171" s="204"/>
      <c r="D171" s="204"/>
      <c r="E171" s="204"/>
      <c r="F171" s="204"/>
      <c r="G171" s="204"/>
      <c r="H171" s="204"/>
      <c r="I171" s="204"/>
      <c r="J171" s="204"/>
      <c r="K171" s="204"/>
      <c r="L171" s="204"/>
      <c r="M171" s="204"/>
      <c r="N171" s="204"/>
    </row>
    <row r="172" spans="1:14">
      <c r="A172" s="200"/>
      <c r="B172" s="200"/>
      <c r="C172" s="204"/>
      <c r="D172" s="204"/>
      <c r="E172" s="204"/>
      <c r="F172" s="204"/>
      <c r="G172" s="204"/>
      <c r="H172" s="204"/>
      <c r="I172" s="204"/>
      <c r="J172" s="204"/>
      <c r="K172" s="204"/>
      <c r="L172" s="204"/>
      <c r="M172" s="204"/>
      <c r="N172" s="204"/>
    </row>
    <row r="173" spans="1:14">
      <c r="A173" s="200"/>
      <c r="B173" s="203" t="s">
        <v>2215</v>
      </c>
      <c r="C173" s="204"/>
      <c r="D173" s="204"/>
      <c r="E173" s="204"/>
      <c r="F173" s="204"/>
      <c r="G173" s="204"/>
      <c r="H173" s="204"/>
      <c r="I173" s="204"/>
      <c r="J173" s="204"/>
      <c r="K173" s="204"/>
      <c r="L173" s="204"/>
      <c r="M173" s="204"/>
      <c r="N173" s="204"/>
    </row>
    <row r="174" spans="1:14">
      <c r="A174" s="200"/>
      <c r="B174" s="205" t="s">
        <v>2184</v>
      </c>
      <c r="C174" s="204"/>
      <c r="D174" s="204"/>
      <c r="E174" s="204"/>
      <c r="F174" s="204"/>
      <c r="G174" s="204"/>
      <c r="H174" s="204"/>
      <c r="I174" s="204"/>
      <c r="J174" s="204"/>
      <c r="K174" s="204"/>
      <c r="L174" s="204"/>
      <c r="M174" s="204"/>
      <c r="N174" s="204"/>
    </row>
    <row r="175" spans="1:14">
      <c r="A175" s="200"/>
      <c r="B175" s="205" t="s">
        <v>2212</v>
      </c>
      <c r="C175" s="204"/>
      <c r="D175" s="204"/>
      <c r="E175" s="204"/>
      <c r="F175" s="204"/>
      <c r="G175" s="204"/>
      <c r="H175" s="204"/>
      <c r="I175" s="204"/>
      <c r="J175" s="204"/>
      <c r="K175" s="204"/>
      <c r="L175" s="204"/>
      <c r="M175" s="204"/>
      <c r="N175" s="204"/>
    </row>
    <row r="176" spans="1:14">
      <c r="A176" s="200"/>
      <c r="B176" s="200"/>
      <c r="C176" s="204"/>
      <c r="D176" s="204"/>
      <c r="E176" s="204"/>
      <c r="F176" s="204"/>
      <c r="G176" s="204"/>
      <c r="H176" s="204"/>
      <c r="I176" s="204"/>
      <c r="J176" s="204"/>
      <c r="K176" s="204"/>
      <c r="L176" s="204"/>
      <c r="M176" s="204"/>
      <c r="N176" s="204"/>
    </row>
    <row r="177" spans="1:14">
      <c r="A177" s="200"/>
      <c r="B177" s="203" t="s">
        <v>2216</v>
      </c>
      <c r="C177" s="204"/>
      <c r="D177" s="204"/>
      <c r="E177" s="204"/>
      <c r="F177" s="204"/>
      <c r="G177" s="204"/>
      <c r="H177" s="204"/>
      <c r="I177" s="204"/>
      <c r="J177" s="204"/>
      <c r="K177" s="204"/>
      <c r="L177" s="204"/>
      <c r="M177" s="204"/>
      <c r="N177" s="204"/>
    </row>
    <row r="178" spans="1:14">
      <c r="A178" s="200"/>
      <c r="B178" s="205" t="s">
        <v>2184</v>
      </c>
      <c r="C178" s="204"/>
      <c r="D178" s="204"/>
      <c r="E178" s="204"/>
      <c r="F178" s="204"/>
      <c r="G178" s="204"/>
      <c r="H178" s="204"/>
      <c r="I178" s="204"/>
      <c r="J178" s="204"/>
      <c r="K178" s="204"/>
      <c r="L178" s="204"/>
      <c r="M178" s="204"/>
      <c r="N178" s="204"/>
    </row>
    <row r="179" spans="1:14">
      <c r="A179" s="200"/>
      <c r="B179" s="205" t="s">
        <v>2212</v>
      </c>
      <c r="C179" s="204"/>
      <c r="D179" s="204"/>
      <c r="E179" s="204"/>
      <c r="F179" s="204"/>
      <c r="G179" s="204"/>
      <c r="H179" s="204"/>
      <c r="I179" s="204"/>
      <c r="J179" s="204"/>
      <c r="K179" s="204"/>
      <c r="L179" s="204"/>
      <c r="M179" s="204"/>
      <c r="N179" s="204"/>
    </row>
  </sheetData>
  <mergeCells count="60">
    <mergeCell ref="C3:D3"/>
    <mergeCell ref="C4:D4"/>
    <mergeCell ref="E3:F3"/>
    <mergeCell ref="G3:H3"/>
    <mergeCell ref="I3:J3"/>
    <mergeCell ref="M3:N3"/>
    <mergeCell ref="E4:F4"/>
    <mergeCell ref="G4:H4"/>
    <mergeCell ref="I4:J4"/>
    <mergeCell ref="K4:L4"/>
    <mergeCell ref="M4:N4"/>
    <mergeCell ref="K3:L3"/>
    <mergeCell ref="M64:N64"/>
    <mergeCell ref="C63:D63"/>
    <mergeCell ref="E63:F63"/>
    <mergeCell ref="G63:H63"/>
    <mergeCell ref="I63:J63"/>
    <mergeCell ref="K63:L63"/>
    <mergeCell ref="M63:N63"/>
    <mergeCell ref="C64:D64"/>
    <mergeCell ref="E64:F64"/>
    <mergeCell ref="G64:H64"/>
    <mergeCell ref="I64:J64"/>
    <mergeCell ref="K64:L64"/>
    <mergeCell ref="M97:N97"/>
    <mergeCell ref="C96:D96"/>
    <mergeCell ref="E96:F96"/>
    <mergeCell ref="G96:H96"/>
    <mergeCell ref="I96:J96"/>
    <mergeCell ref="K96:L96"/>
    <mergeCell ref="M96:N96"/>
    <mergeCell ref="C97:D97"/>
    <mergeCell ref="E97:F97"/>
    <mergeCell ref="G97:H97"/>
    <mergeCell ref="I97:J97"/>
    <mergeCell ref="K97:L97"/>
    <mergeCell ref="M126:N126"/>
    <mergeCell ref="C125:D125"/>
    <mergeCell ref="E125:F125"/>
    <mergeCell ref="G125:H125"/>
    <mergeCell ref="I125:J125"/>
    <mergeCell ref="K125:L125"/>
    <mergeCell ref="M125:N125"/>
    <mergeCell ref="C126:D126"/>
    <mergeCell ref="E126:F126"/>
    <mergeCell ref="G126:H126"/>
    <mergeCell ref="I126:J126"/>
    <mergeCell ref="K126:L126"/>
    <mergeCell ref="M155:N155"/>
    <mergeCell ref="C154:D154"/>
    <mergeCell ref="E154:F154"/>
    <mergeCell ref="G154:H154"/>
    <mergeCell ref="I154:J154"/>
    <mergeCell ref="K154:L154"/>
    <mergeCell ref="M154:N154"/>
    <mergeCell ref="C155:D155"/>
    <mergeCell ref="E155:F155"/>
    <mergeCell ref="G155:H155"/>
    <mergeCell ref="I155:J155"/>
    <mergeCell ref="K155:L155"/>
  </mergeCells>
  <phoneticPr fontId="1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D949C-B6C6-4908-8D73-CD01844E442F}">
  <dimension ref="A1:D17"/>
  <sheetViews>
    <sheetView workbookViewId="0">
      <selection activeCell="C41" sqref="C41"/>
    </sheetView>
  </sheetViews>
  <sheetFormatPr defaultColWidth="11" defaultRowHeight="15.95"/>
  <cols>
    <col min="1" max="1" width="29.875" bestFit="1" customWidth="1"/>
    <col min="2" max="2" width="33.5" bestFit="1" customWidth="1"/>
    <col min="3" max="3" width="39.125" bestFit="1" customWidth="1"/>
    <col min="4" max="4" width="31.875" bestFit="1" customWidth="1"/>
  </cols>
  <sheetData>
    <row r="1" spans="1:4">
      <c r="A1" s="35" t="s">
        <v>2235</v>
      </c>
      <c r="B1" s="35" t="s">
        <v>2236</v>
      </c>
      <c r="C1" s="35" t="s">
        <v>2237</v>
      </c>
      <c r="D1" s="35" t="s">
        <v>421</v>
      </c>
    </row>
    <row r="2" spans="1:4">
      <c r="A2" s="167" t="s">
        <v>2238</v>
      </c>
      <c r="B2" s="180" t="s">
        <v>2239</v>
      </c>
      <c r="C2" s="180" t="s">
        <v>2240</v>
      </c>
      <c r="D2" s="180" t="s">
        <v>2241</v>
      </c>
    </row>
    <row r="3" spans="1:4">
      <c r="A3" s="167" t="s">
        <v>2242</v>
      </c>
      <c r="B3" s="180" t="s">
        <v>2243</v>
      </c>
      <c r="C3" s="180" t="s">
        <v>2244</v>
      </c>
      <c r="D3" s="180" t="s">
        <v>2245</v>
      </c>
    </row>
    <row r="4" spans="1:4">
      <c r="A4" s="167" t="s">
        <v>2246</v>
      </c>
      <c r="B4" s="180" t="s">
        <v>2247</v>
      </c>
      <c r="C4" s="180" t="s">
        <v>2248</v>
      </c>
      <c r="D4" s="180" t="s">
        <v>2249</v>
      </c>
    </row>
    <row r="5" spans="1:4">
      <c r="A5" s="167" t="s">
        <v>2250</v>
      </c>
      <c r="B5" s="180" t="s">
        <v>2251</v>
      </c>
      <c r="C5" s="180" t="s">
        <v>2252</v>
      </c>
      <c r="D5" s="180" t="s">
        <v>2253</v>
      </c>
    </row>
    <row r="6" spans="1:4">
      <c r="A6" s="167" t="s">
        <v>2254</v>
      </c>
      <c r="B6" s="180" t="s">
        <v>2255</v>
      </c>
      <c r="C6" s="180" t="s">
        <v>2256</v>
      </c>
      <c r="D6" s="180" t="s">
        <v>2257</v>
      </c>
    </row>
    <row r="7" spans="1:4">
      <c r="A7" s="167" t="s">
        <v>2258</v>
      </c>
      <c r="B7" s="180" t="s">
        <v>2259</v>
      </c>
      <c r="C7" s="180" t="s">
        <v>2260</v>
      </c>
      <c r="D7" s="180" t="s">
        <v>2261</v>
      </c>
    </row>
    <row r="8" spans="1:4">
      <c r="A8" s="167" t="s">
        <v>2262</v>
      </c>
      <c r="B8" s="180" t="s">
        <v>2263</v>
      </c>
      <c r="C8" s="180" t="s">
        <v>2264</v>
      </c>
      <c r="D8" s="180" t="s">
        <v>2265</v>
      </c>
    </row>
    <row r="9" spans="1:4">
      <c r="A9" s="167" t="s">
        <v>2266</v>
      </c>
      <c r="B9" s="180" t="s">
        <v>2267</v>
      </c>
      <c r="C9" s="180" t="s">
        <v>2268</v>
      </c>
      <c r="D9" s="180" t="s">
        <v>2269</v>
      </c>
    </row>
    <row r="10" spans="1:4">
      <c r="A10" s="167" t="s">
        <v>2270</v>
      </c>
      <c r="B10" s="181" t="s">
        <v>2271</v>
      </c>
      <c r="C10" s="181" t="s">
        <v>2271</v>
      </c>
      <c r="D10" s="181" t="s">
        <v>2271</v>
      </c>
    </row>
    <row r="11" spans="1:4">
      <c r="A11" s="167" t="s">
        <v>2272</v>
      </c>
      <c r="B11" s="180" t="s">
        <v>2273</v>
      </c>
      <c r="C11" s="180" t="s">
        <v>2274</v>
      </c>
      <c r="D11" s="180" t="s">
        <v>2275</v>
      </c>
    </row>
    <row r="12" spans="1:4">
      <c r="A12" s="168" t="s">
        <v>2271</v>
      </c>
      <c r="B12" s="180" t="s">
        <v>2276</v>
      </c>
      <c r="C12" s="180" t="s">
        <v>2277</v>
      </c>
      <c r="D12" s="180" t="s">
        <v>2278</v>
      </c>
    </row>
    <row r="13" spans="1:4">
      <c r="A13" s="167" t="s">
        <v>2279</v>
      </c>
      <c r="B13" s="180" t="s">
        <v>2280</v>
      </c>
      <c r="C13" s="180" t="s">
        <v>2281</v>
      </c>
      <c r="D13" s="180" t="s">
        <v>2282</v>
      </c>
    </row>
    <row r="14" spans="1:4">
      <c r="A14" s="167" t="s">
        <v>2283</v>
      </c>
      <c r="B14" s="180" t="s">
        <v>2284</v>
      </c>
      <c r="C14" s="180" t="s">
        <v>2285</v>
      </c>
      <c r="D14" s="180" t="s">
        <v>2286</v>
      </c>
    </row>
    <row r="15" spans="1:4">
      <c r="A15" s="167" t="s">
        <v>2287</v>
      </c>
      <c r="B15" t="s">
        <v>2288</v>
      </c>
    </row>
    <row r="16" spans="1:4">
      <c r="A16" s="167" t="s">
        <v>2289</v>
      </c>
      <c r="B16" t="s">
        <v>2290</v>
      </c>
    </row>
    <row r="17" spans="1:2">
      <c r="A17" s="167"/>
      <c r="B17" s="180"/>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9D8EA-61E2-1B48-8526-95D7508DF8F4}">
  <dimension ref="A1:AJ181"/>
  <sheetViews>
    <sheetView topLeftCell="B51" workbookViewId="0">
      <selection activeCell="B51" sqref="B51"/>
    </sheetView>
  </sheetViews>
  <sheetFormatPr defaultColWidth="11" defaultRowHeight="15.95"/>
  <cols>
    <col min="1" max="1" width="69.125" customWidth="1"/>
    <col min="2" max="2" width="21.5" bestFit="1" customWidth="1"/>
    <col min="3" max="3" width="10.875" style="116"/>
  </cols>
  <sheetData>
    <row r="1" spans="1:36" ht="17.100000000000001" thickBot="1">
      <c r="A1" s="19" t="s">
        <v>2291</v>
      </c>
      <c r="B1" s="19" t="s">
        <v>4</v>
      </c>
    </row>
    <row r="2" spans="1:36">
      <c r="A2" s="5" t="s">
        <v>2292</v>
      </c>
      <c r="B2" s="5"/>
      <c r="C2" s="345" t="s">
        <v>2293</v>
      </c>
      <c r="D2" s="342"/>
      <c r="E2" s="342"/>
      <c r="F2" s="346" t="s">
        <v>2294</v>
      </c>
      <c r="G2" s="346"/>
      <c r="H2" s="346"/>
      <c r="I2" s="346"/>
      <c r="J2" s="342" t="s">
        <v>2295</v>
      </c>
      <c r="K2" s="342"/>
      <c r="L2" s="342"/>
      <c r="M2" s="342"/>
      <c r="N2" s="342"/>
      <c r="O2" s="346" t="s">
        <v>2296</v>
      </c>
      <c r="P2" s="346"/>
      <c r="Q2" s="346"/>
      <c r="R2" s="346"/>
      <c r="S2" s="342" t="s">
        <v>2297</v>
      </c>
      <c r="T2" s="342"/>
      <c r="U2" s="342"/>
      <c r="V2" s="342"/>
      <c r="W2" s="346" t="s">
        <v>2298</v>
      </c>
      <c r="X2" s="346"/>
      <c r="Y2" s="346"/>
      <c r="Z2" s="346"/>
      <c r="AA2" s="346"/>
      <c r="AB2" s="342" t="s">
        <v>2299</v>
      </c>
      <c r="AC2" s="342"/>
      <c r="AD2" s="342"/>
      <c r="AE2" s="342"/>
      <c r="AF2" s="339" t="s">
        <v>2300</v>
      </c>
      <c r="AG2" s="340"/>
      <c r="AH2" s="340"/>
      <c r="AI2" s="340"/>
      <c r="AJ2" s="341"/>
    </row>
    <row r="3" spans="1:36">
      <c r="A3" s="5" t="s">
        <v>2301</v>
      </c>
      <c r="B3" s="5"/>
      <c r="C3" s="124">
        <v>45789</v>
      </c>
      <c r="D3" s="125">
        <f>C3+7</f>
        <v>45796</v>
      </c>
      <c r="E3" s="125">
        <f t="shared" ref="E3:AJ3" si="0">D3+7</f>
        <v>45803</v>
      </c>
      <c r="F3" s="125">
        <f t="shared" si="0"/>
        <v>45810</v>
      </c>
      <c r="G3" s="125">
        <f t="shared" si="0"/>
        <v>45817</v>
      </c>
      <c r="H3" s="125">
        <f t="shared" si="0"/>
        <v>45824</v>
      </c>
      <c r="I3" s="125">
        <f t="shared" si="0"/>
        <v>45831</v>
      </c>
      <c r="J3" s="125">
        <f t="shared" si="0"/>
        <v>45838</v>
      </c>
      <c r="K3" s="125">
        <f t="shared" si="0"/>
        <v>45845</v>
      </c>
      <c r="L3" s="125">
        <f t="shared" si="0"/>
        <v>45852</v>
      </c>
      <c r="M3" s="125">
        <f t="shared" si="0"/>
        <v>45859</v>
      </c>
      <c r="N3" s="125">
        <f t="shared" si="0"/>
        <v>45866</v>
      </c>
      <c r="O3" s="125">
        <f t="shared" si="0"/>
        <v>45873</v>
      </c>
      <c r="P3" s="125">
        <f t="shared" si="0"/>
        <v>45880</v>
      </c>
      <c r="Q3" s="125">
        <f t="shared" si="0"/>
        <v>45887</v>
      </c>
      <c r="R3" s="125">
        <f t="shared" si="0"/>
        <v>45894</v>
      </c>
      <c r="S3" s="125">
        <f t="shared" si="0"/>
        <v>45901</v>
      </c>
      <c r="T3" s="125">
        <f t="shared" si="0"/>
        <v>45908</v>
      </c>
      <c r="U3" s="125">
        <f t="shared" si="0"/>
        <v>45915</v>
      </c>
      <c r="V3" s="125">
        <f t="shared" si="0"/>
        <v>45922</v>
      </c>
      <c r="W3" s="125">
        <f t="shared" si="0"/>
        <v>45929</v>
      </c>
      <c r="X3" s="125">
        <f t="shared" si="0"/>
        <v>45936</v>
      </c>
      <c r="Y3" s="125">
        <f t="shared" si="0"/>
        <v>45943</v>
      </c>
      <c r="Z3" s="125">
        <f t="shared" si="0"/>
        <v>45950</v>
      </c>
      <c r="AA3" s="125">
        <f t="shared" si="0"/>
        <v>45957</v>
      </c>
      <c r="AB3" s="125">
        <f t="shared" si="0"/>
        <v>45964</v>
      </c>
      <c r="AC3" s="125">
        <f t="shared" si="0"/>
        <v>45971</v>
      </c>
      <c r="AD3" s="125">
        <f t="shared" si="0"/>
        <v>45978</v>
      </c>
      <c r="AE3" s="125">
        <f t="shared" si="0"/>
        <v>45985</v>
      </c>
      <c r="AF3" s="125">
        <f t="shared" si="0"/>
        <v>45992</v>
      </c>
      <c r="AG3" s="125">
        <f t="shared" si="0"/>
        <v>45999</v>
      </c>
      <c r="AH3" s="125">
        <f t="shared" si="0"/>
        <v>46006</v>
      </c>
      <c r="AI3" s="125">
        <f t="shared" si="0"/>
        <v>46013</v>
      </c>
      <c r="AJ3" s="126">
        <f t="shared" si="0"/>
        <v>46020</v>
      </c>
    </row>
    <row r="4" spans="1:36" ht="17.100000000000001" thickBot="1">
      <c r="A4" s="5" t="s">
        <v>2302</v>
      </c>
      <c r="B4" s="5"/>
      <c r="C4" s="127"/>
      <c r="D4" s="101"/>
      <c r="E4" s="101"/>
      <c r="F4" s="128"/>
      <c r="G4" s="128"/>
      <c r="H4" s="128"/>
      <c r="I4" s="343" t="s">
        <v>2303</v>
      </c>
      <c r="J4" s="344"/>
      <c r="K4" s="344"/>
      <c r="L4" s="344"/>
      <c r="M4" s="344"/>
      <c r="N4" s="344"/>
      <c r="O4" s="344"/>
      <c r="P4" s="344"/>
      <c r="Q4" s="344"/>
      <c r="R4" s="247"/>
      <c r="S4" s="101"/>
      <c r="T4" s="101"/>
      <c r="U4" s="101"/>
      <c r="V4" s="101"/>
      <c r="W4" s="128"/>
      <c r="X4" s="128"/>
      <c r="Y4" s="128"/>
      <c r="Z4" s="128"/>
      <c r="AA4" s="128"/>
      <c r="AB4" s="101"/>
      <c r="AC4" s="101"/>
      <c r="AD4" s="101"/>
      <c r="AE4" s="101"/>
      <c r="AF4" s="102"/>
      <c r="AG4" s="102"/>
      <c r="AH4" s="102"/>
      <c r="AI4" s="102"/>
      <c r="AJ4" s="129"/>
    </row>
    <row r="5" spans="1:36">
      <c r="A5" s="5"/>
      <c r="B5" s="5"/>
      <c r="C5" s="141"/>
      <c r="D5" s="50"/>
      <c r="E5" s="50"/>
      <c r="F5" s="142"/>
      <c r="G5" s="142"/>
      <c r="H5" s="142"/>
      <c r="I5" s="142"/>
      <c r="J5" s="50"/>
      <c r="K5" s="50"/>
      <c r="L5" s="337" t="s">
        <v>2304</v>
      </c>
      <c r="M5" s="337"/>
      <c r="N5" s="337"/>
      <c r="O5" s="337"/>
      <c r="P5" s="337"/>
      <c r="Q5" s="337"/>
      <c r="R5" s="338"/>
      <c r="S5" s="50"/>
      <c r="T5" s="50"/>
      <c r="U5" s="50"/>
      <c r="V5" s="50"/>
      <c r="W5" s="142"/>
      <c r="X5" s="142"/>
      <c r="Y5" s="142"/>
      <c r="Z5" s="142"/>
      <c r="AA5" s="142"/>
      <c r="AB5" s="50"/>
      <c r="AC5" s="50"/>
      <c r="AD5" s="50"/>
      <c r="AE5" s="50"/>
      <c r="AF5" s="142"/>
      <c r="AG5" s="142"/>
      <c r="AH5" s="142"/>
      <c r="AI5" s="142"/>
      <c r="AJ5" s="143"/>
    </row>
    <row r="6" spans="1:36">
      <c r="A6" s="5" t="s">
        <v>2157</v>
      </c>
      <c r="B6" s="5"/>
      <c r="C6" s="109" t="s">
        <v>43</v>
      </c>
      <c r="F6" s="115" t="s">
        <v>2305</v>
      </c>
      <c r="G6" s="100"/>
      <c r="H6" s="100"/>
      <c r="I6" s="100"/>
      <c r="K6" s="109" t="s">
        <v>2306</v>
      </c>
      <c r="O6" s="100"/>
      <c r="P6" s="100"/>
      <c r="Q6" s="100"/>
      <c r="R6" s="100"/>
      <c r="S6" s="109" t="s">
        <v>2307</v>
      </c>
      <c r="W6" s="100"/>
      <c r="X6" s="100"/>
      <c r="Y6" s="100"/>
      <c r="Z6" s="100"/>
      <c r="AA6" s="100"/>
      <c r="AB6" s="108" t="s">
        <v>2308</v>
      </c>
      <c r="AF6" s="100"/>
      <c r="AG6" s="100"/>
      <c r="AH6" s="100"/>
      <c r="AI6" s="100"/>
      <c r="AJ6" s="100"/>
    </row>
    <row r="7" spans="1:36">
      <c r="A7" s="34"/>
      <c r="B7" s="34"/>
      <c r="F7" s="110" t="s">
        <v>2309</v>
      </c>
      <c r="G7" s="100"/>
      <c r="H7" s="115" t="s">
        <v>2310</v>
      </c>
      <c r="I7" s="100"/>
      <c r="O7" s="100"/>
      <c r="P7" s="100"/>
      <c r="Q7" s="100"/>
      <c r="R7" s="100"/>
      <c r="S7" s="108" t="s">
        <v>2311</v>
      </c>
      <c r="W7" s="100"/>
      <c r="X7" s="100"/>
      <c r="Y7" s="100"/>
      <c r="Z7" s="100"/>
      <c r="AA7" s="100"/>
      <c r="AF7" s="99"/>
      <c r="AG7" s="99"/>
      <c r="AH7" s="99"/>
      <c r="AI7" s="99"/>
      <c r="AJ7" s="99"/>
    </row>
    <row r="8" spans="1:36">
      <c r="A8" s="134"/>
      <c r="B8" s="34"/>
      <c r="F8" s="99"/>
      <c r="G8" s="99"/>
      <c r="H8" s="99"/>
      <c r="I8" s="99"/>
      <c r="O8" s="99"/>
      <c r="P8" s="99"/>
      <c r="Q8" s="99"/>
      <c r="R8" s="99"/>
      <c r="W8" s="99"/>
      <c r="X8" s="99"/>
      <c r="Y8" s="99"/>
      <c r="Z8" s="99"/>
      <c r="AA8" s="99"/>
      <c r="AF8" s="99"/>
      <c r="AG8" s="99"/>
      <c r="AH8" s="99"/>
      <c r="AI8" s="99"/>
      <c r="AJ8" s="99"/>
    </row>
    <row r="9" spans="1:36">
      <c r="A9" s="5" t="s">
        <v>2312</v>
      </c>
      <c r="B9" s="5"/>
      <c r="F9" s="99"/>
      <c r="G9" s="99"/>
      <c r="H9" s="99"/>
      <c r="I9" s="99"/>
      <c r="O9" s="99"/>
      <c r="P9" s="99"/>
      <c r="Q9" s="99"/>
      <c r="R9" s="99"/>
      <c r="W9" s="99"/>
      <c r="X9" s="99"/>
      <c r="Y9" s="99"/>
      <c r="Z9" s="99"/>
      <c r="AA9" s="99"/>
      <c r="AF9" s="99"/>
      <c r="AG9" s="99"/>
      <c r="AH9" s="99"/>
      <c r="AI9" s="99"/>
      <c r="AJ9" s="99"/>
    </row>
    <row r="10" spans="1:36">
      <c r="A10" s="34" t="s">
        <v>2313</v>
      </c>
      <c r="B10" s="34" t="s">
        <v>2314</v>
      </c>
      <c r="E10" s="144" t="s">
        <v>2315</v>
      </c>
      <c r="F10" s="99"/>
      <c r="G10" s="99"/>
      <c r="H10" s="99"/>
      <c r="I10" s="99"/>
      <c r="O10" s="99"/>
      <c r="P10" s="99"/>
      <c r="Q10" s="99"/>
      <c r="R10" s="99"/>
      <c r="W10" s="99"/>
      <c r="X10" s="99"/>
      <c r="Y10" s="99"/>
      <c r="Z10" s="99"/>
      <c r="AA10" s="99"/>
      <c r="AF10" s="99"/>
      <c r="AG10" s="99"/>
      <c r="AH10" s="99"/>
      <c r="AI10" s="99"/>
      <c r="AJ10" s="99"/>
    </row>
    <row r="11" spans="1:36">
      <c r="A11" s="34" t="s">
        <v>2316</v>
      </c>
      <c r="B11" s="34" t="s">
        <v>2314</v>
      </c>
      <c r="E11" s="145" t="s">
        <v>2315</v>
      </c>
      <c r="F11" s="99"/>
      <c r="G11" s="99"/>
      <c r="H11" s="99"/>
      <c r="I11" s="99"/>
      <c r="O11" s="99"/>
      <c r="P11" s="99"/>
      <c r="Q11" s="99"/>
      <c r="R11" s="99"/>
      <c r="W11" s="99"/>
      <c r="X11" s="99"/>
      <c r="Y11" s="99"/>
      <c r="Z11" s="99"/>
      <c r="AA11" s="99"/>
      <c r="AF11" s="99"/>
      <c r="AG11" s="99"/>
      <c r="AH11" s="99"/>
      <c r="AI11" s="99"/>
      <c r="AJ11" s="99"/>
    </row>
    <row r="12" spans="1:36">
      <c r="A12" s="34" t="s">
        <v>1485</v>
      </c>
      <c r="B12" s="34" t="s">
        <v>2317</v>
      </c>
      <c r="D12" s="132" t="s">
        <v>2315</v>
      </c>
      <c r="E12" s="132"/>
      <c r="F12" s="99"/>
      <c r="G12" s="99"/>
      <c r="H12" s="99"/>
      <c r="I12" s="99"/>
      <c r="O12" s="99"/>
      <c r="P12" s="99"/>
      <c r="Q12" s="99"/>
      <c r="R12" s="99"/>
      <c r="W12" s="99"/>
      <c r="X12" s="99"/>
      <c r="Y12" s="99"/>
      <c r="Z12" s="99"/>
      <c r="AA12" s="99"/>
      <c r="AF12" s="99"/>
      <c r="AG12" s="99"/>
      <c r="AH12" s="99"/>
      <c r="AI12" s="99"/>
      <c r="AJ12" s="99"/>
    </row>
    <row r="13" spans="1:36">
      <c r="A13" s="34" t="s">
        <v>2318</v>
      </c>
      <c r="B13" s="34" t="s">
        <v>2317</v>
      </c>
      <c r="E13" s="132" t="s">
        <v>2315</v>
      </c>
      <c r="F13" s="99"/>
      <c r="G13" s="99"/>
      <c r="H13" s="99"/>
      <c r="I13" s="99"/>
      <c r="O13" s="99"/>
      <c r="P13" s="99"/>
      <c r="Q13" s="99"/>
      <c r="R13" s="99"/>
      <c r="W13" s="99"/>
      <c r="X13" s="99"/>
      <c r="Y13" s="99"/>
      <c r="Z13" s="99"/>
      <c r="AA13" s="99"/>
      <c r="AF13" s="99"/>
      <c r="AG13" s="99"/>
      <c r="AH13" s="99"/>
      <c r="AI13" s="99"/>
      <c r="AJ13" s="99"/>
    </row>
    <row r="14" spans="1:36">
      <c r="A14" s="34" t="s">
        <v>2319</v>
      </c>
      <c r="B14" s="34" t="s">
        <v>2314</v>
      </c>
      <c r="E14" s="132"/>
      <c r="F14" s="99"/>
      <c r="G14" s="99"/>
      <c r="H14" s="99"/>
      <c r="I14" s="99"/>
      <c r="O14" s="99"/>
      <c r="P14" s="99"/>
      <c r="Q14" s="99"/>
      <c r="R14" s="99"/>
      <c r="W14" s="99"/>
      <c r="X14" s="99"/>
      <c r="Y14" s="99"/>
      <c r="Z14" s="99"/>
      <c r="AA14" s="99"/>
      <c r="AF14" s="99"/>
      <c r="AG14" s="99"/>
      <c r="AH14" s="99"/>
      <c r="AI14" s="99"/>
      <c r="AJ14" s="99"/>
    </row>
    <row r="15" spans="1:36">
      <c r="A15" s="34" t="s">
        <v>2320</v>
      </c>
      <c r="B15" s="34"/>
      <c r="E15" s="132"/>
      <c r="F15" s="99"/>
      <c r="G15" s="99"/>
      <c r="H15" s="99"/>
      <c r="I15" s="99"/>
      <c r="O15" s="99"/>
      <c r="P15" s="99"/>
      <c r="Q15" s="99"/>
      <c r="R15" s="99"/>
      <c r="W15" s="99"/>
      <c r="X15" s="99"/>
      <c r="Y15" s="99"/>
      <c r="Z15" s="99"/>
      <c r="AA15" s="99"/>
      <c r="AF15" s="99"/>
      <c r="AG15" s="99"/>
      <c r="AH15" s="99"/>
      <c r="AI15" s="99"/>
      <c r="AJ15" s="99"/>
    </row>
    <row r="16" spans="1:36">
      <c r="A16" s="34" t="s">
        <v>2321</v>
      </c>
      <c r="B16" s="34" t="s">
        <v>2317</v>
      </c>
      <c r="E16" s="178" t="s">
        <v>2315</v>
      </c>
      <c r="F16" s="99"/>
      <c r="G16" s="99"/>
      <c r="H16" s="99"/>
      <c r="I16" s="99"/>
      <c r="O16" s="99"/>
      <c r="P16" s="99"/>
      <c r="Q16" s="99"/>
      <c r="R16" s="99"/>
      <c r="W16" s="99"/>
      <c r="X16" s="99"/>
      <c r="Y16" s="99"/>
      <c r="Z16" s="99"/>
      <c r="AA16" s="99"/>
      <c r="AF16" s="99"/>
      <c r="AG16" s="99"/>
      <c r="AH16" s="99"/>
      <c r="AI16" s="99"/>
      <c r="AJ16" s="99"/>
    </row>
    <row r="17" spans="1:36">
      <c r="A17" s="34" t="s">
        <v>2322</v>
      </c>
      <c r="B17" s="34" t="s">
        <v>2317</v>
      </c>
      <c r="E17" s="132" t="s">
        <v>2315</v>
      </c>
      <c r="F17" s="99"/>
      <c r="G17" s="99"/>
      <c r="H17" s="99"/>
      <c r="I17" s="99"/>
      <c r="O17" s="99"/>
      <c r="P17" s="99"/>
      <c r="Q17" s="99"/>
      <c r="R17" s="99"/>
      <c r="W17" s="99"/>
      <c r="X17" s="99"/>
      <c r="Y17" s="99"/>
      <c r="Z17" s="99"/>
      <c r="AA17" s="99"/>
      <c r="AF17" s="99"/>
      <c r="AG17" s="99"/>
      <c r="AH17" s="99"/>
      <c r="AI17" s="99"/>
      <c r="AJ17" s="99"/>
    </row>
    <row r="18" spans="1:36">
      <c r="A18" s="34" t="s">
        <v>2323</v>
      </c>
      <c r="B18" s="34" t="s">
        <v>2317</v>
      </c>
      <c r="E18" s="132" t="s">
        <v>2315</v>
      </c>
      <c r="F18" s="99"/>
      <c r="G18" s="99"/>
      <c r="H18" s="99"/>
      <c r="I18" s="99"/>
      <c r="O18" s="99"/>
      <c r="P18" s="99"/>
      <c r="Q18" s="99"/>
      <c r="R18" s="99"/>
      <c r="W18" s="99"/>
      <c r="X18" s="99"/>
      <c r="Y18" s="99"/>
      <c r="Z18" s="99"/>
      <c r="AA18" s="99"/>
      <c r="AF18" s="99"/>
      <c r="AG18" s="99"/>
      <c r="AH18" s="99"/>
      <c r="AI18" s="99"/>
      <c r="AJ18" s="99"/>
    </row>
    <row r="19" spans="1:36">
      <c r="A19" s="34" t="s">
        <v>2324</v>
      </c>
      <c r="B19" s="34" t="s">
        <v>2317</v>
      </c>
      <c r="E19" s="132"/>
      <c r="F19" s="99"/>
      <c r="G19" s="99"/>
      <c r="H19" s="99"/>
      <c r="I19" s="99"/>
      <c r="J19" s="132" t="s">
        <v>2315</v>
      </c>
      <c r="O19" s="99"/>
      <c r="P19" s="99"/>
      <c r="Q19" s="99"/>
      <c r="R19" s="99"/>
      <c r="W19" s="99"/>
      <c r="X19" s="99"/>
      <c r="Y19" s="99"/>
      <c r="Z19" s="99"/>
      <c r="AA19" s="99"/>
      <c r="AF19" s="99"/>
      <c r="AG19" s="99"/>
      <c r="AH19" s="99"/>
      <c r="AI19" s="99"/>
      <c r="AJ19" s="99"/>
    </row>
    <row r="20" spans="1:36">
      <c r="A20" s="34" t="s">
        <v>2325</v>
      </c>
      <c r="B20" s="34" t="s">
        <v>2326</v>
      </c>
      <c r="E20" s="132"/>
      <c r="F20" s="99"/>
      <c r="G20" s="99"/>
      <c r="H20" s="99"/>
      <c r="I20" s="99"/>
      <c r="K20" s="178" t="s">
        <v>2315</v>
      </c>
      <c r="O20" s="99"/>
      <c r="P20" s="99"/>
      <c r="Q20" s="99"/>
      <c r="R20" s="99"/>
      <c r="W20" s="99"/>
      <c r="X20" s="99"/>
      <c r="Y20" s="99"/>
      <c r="Z20" s="99"/>
      <c r="AA20" s="99"/>
      <c r="AF20" s="99"/>
      <c r="AG20" s="99"/>
      <c r="AH20" s="99"/>
      <c r="AI20" s="99"/>
      <c r="AJ20" s="99"/>
    </row>
    <row r="21" spans="1:36">
      <c r="A21" s="34" t="s">
        <v>2327</v>
      </c>
      <c r="B21" s="34" t="s">
        <v>2317</v>
      </c>
      <c r="E21" s="132"/>
      <c r="F21" s="99"/>
      <c r="G21" s="99"/>
      <c r="H21" s="99"/>
      <c r="I21" s="99"/>
      <c r="K21" s="328" t="s">
        <v>2315</v>
      </c>
      <c r="O21" s="99"/>
      <c r="P21" s="99"/>
      <c r="Q21" s="99"/>
      <c r="R21" s="99"/>
      <c r="W21" s="99"/>
      <c r="X21" s="99"/>
      <c r="Y21" s="99"/>
      <c r="Z21" s="99"/>
      <c r="AA21" s="99"/>
      <c r="AF21" s="99"/>
      <c r="AG21" s="99"/>
      <c r="AH21" s="99"/>
      <c r="AI21" s="99"/>
      <c r="AJ21" s="99"/>
    </row>
    <row r="22" spans="1:36">
      <c r="A22" s="34" t="s">
        <v>2328</v>
      </c>
      <c r="B22" s="34" t="s">
        <v>2317</v>
      </c>
      <c r="E22" s="132"/>
      <c r="F22" s="99"/>
      <c r="G22" s="99"/>
      <c r="H22" s="99"/>
      <c r="I22" s="99"/>
      <c r="L22" s="178" t="s">
        <v>2315</v>
      </c>
      <c r="O22" s="99"/>
      <c r="P22" s="99"/>
      <c r="Q22" s="99"/>
      <c r="R22" s="99"/>
      <c r="W22" s="99"/>
      <c r="X22" s="99"/>
      <c r="Y22" s="99"/>
      <c r="Z22" s="99"/>
      <c r="AA22" s="99"/>
      <c r="AF22" s="99"/>
      <c r="AG22" s="99"/>
      <c r="AH22" s="99"/>
      <c r="AI22" s="99"/>
      <c r="AJ22" s="99"/>
    </row>
    <row r="23" spans="1:36">
      <c r="A23" s="34" t="s">
        <v>2329</v>
      </c>
      <c r="B23" s="34" t="s">
        <v>2317</v>
      </c>
      <c r="E23" s="132"/>
      <c r="F23" s="99"/>
      <c r="G23" s="99"/>
      <c r="H23" s="99"/>
      <c r="I23" s="99"/>
      <c r="L23" t="s">
        <v>2330</v>
      </c>
      <c r="O23" s="99"/>
      <c r="P23" s="99"/>
      <c r="Q23" s="99"/>
      <c r="R23" s="99"/>
      <c r="W23" s="99"/>
      <c r="X23" s="99"/>
      <c r="Y23" s="99"/>
      <c r="Z23" s="99"/>
      <c r="AA23" s="99"/>
      <c r="AF23" s="99"/>
      <c r="AG23" s="99"/>
      <c r="AH23" s="99"/>
      <c r="AI23" s="99"/>
      <c r="AJ23" s="99"/>
    </row>
    <row r="24" spans="1:36">
      <c r="A24" s="34" t="s">
        <v>2331</v>
      </c>
      <c r="B24" s="34" t="s">
        <v>2314</v>
      </c>
      <c r="E24" s="132"/>
      <c r="F24" s="99"/>
      <c r="G24" s="99"/>
      <c r="H24" s="99"/>
      <c r="I24" s="99"/>
      <c r="M24" t="s">
        <v>2332</v>
      </c>
      <c r="O24" s="99"/>
      <c r="P24" s="99"/>
      <c r="Q24" s="99"/>
      <c r="R24" s="99"/>
      <c r="W24" s="99"/>
      <c r="X24" s="99"/>
      <c r="Y24" s="99"/>
      <c r="Z24" s="99"/>
      <c r="AA24" s="99"/>
      <c r="AF24" s="99"/>
      <c r="AG24" s="99"/>
      <c r="AH24" s="99"/>
      <c r="AI24" s="99"/>
      <c r="AJ24" s="99"/>
    </row>
    <row r="25" spans="1:36">
      <c r="A25" s="34" t="s">
        <v>2333</v>
      </c>
      <c r="B25" s="34" t="s">
        <v>2326</v>
      </c>
      <c r="E25" s="132"/>
      <c r="F25" s="99"/>
      <c r="G25" s="99"/>
      <c r="H25" s="99"/>
      <c r="I25" s="99"/>
      <c r="M25" t="s">
        <v>2334</v>
      </c>
      <c r="O25" s="99"/>
      <c r="P25" s="99"/>
      <c r="Q25" s="99"/>
      <c r="R25" s="99"/>
      <c r="W25" s="99"/>
      <c r="X25" s="99"/>
      <c r="Y25" s="99"/>
      <c r="Z25" s="99"/>
      <c r="AA25" s="99"/>
      <c r="AF25" s="99"/>
      <c r="AG25" s="99"/>
      <c r="AH25" s="99"/>
      <c r="AI25" s="99"/>
      <c r="AJ25" s="99"/>
    </row>
    <row r="26" spans="1:36">
      <c r="A26" s="34" t="s">
        <v>2335</v>
      </c>
      <c r="B26" s="34" t="s">
        <v>2317</v>
      </c>
      <c r="E26" s="132"/>
      <c r="F26" s="99"/>
      <c r="G26" s="99"/>
      <c r="H26" s="99"/>
      <c r="I26" s="99"/>
      <c r="M26" t="s">
        <v>2336</v>
      </c>
      <c r="O26" s="99"/>
      <c r="P26" s="99"/>
      <c r="Q26" s="99"/>
      <c r="R26" s="99"/>
      <c r="W26" s="99"/>
      <c r="X26" s="99"/>
      <c r="Y26" s="99"/>
      <c r="Z26" s="99"/>
      <c r="AA26" s="99"/>
      <c r="AF26" s="99"/>
      <c r="AG26" s="99"/>
      <c r="AH26" s="99"/>
      <c r="AI26" s="99"/>
      <c r="AJ26" s="99"/>
    </row>
    <row r="27" spans="1:36">
      <c r="A27" s="34" t="s">
        <v>2337</v>
      </c>
      <c r="B27" s="34" t="s">
        <v>2314</v>
      </c>
      <c r="E27" s="132"/>
      <c r="F27" s="99"/>
      <c r="G27" s="99"/>
      <c r="H27" s="99"/>
      <c r="I27" s="99"/>
      <c r="M27" t="s">
        <v>2338</v>
      </c>
      <c r="O27" s="99"/>
      <c r="P27" s="99"/>
      <c r="Q27" s="99"/>
      <c r="R27" s="99"/>
      <c r="W27" s="99"/>
      <c r="X27" s="99"/>
      <c r="Y27" s="99"/>
      <c r="Z27" s="99"/>
      <c r="AA27" s="99"/>
      <c r="AF27" s="99"/>
      <c r="AG27" s="99"/>
      <c r="AH27" s="99"/>
      <c r="AI27" s="99"/>
      <c r="AJ27" s="99"/>
    </row>
    <row r="28" spans="1:36">
      <c r="A28" s="34"/>
      <c r="B28" s="34"/>
      <c r="E28" s="132"/>
      <c r="F28" s="99"/>
      <c r="G28" s="99"/>
      <c r="H28" s="99"/>
      <c r="I28" s="99"/>
      <c r="O28" s="99"/>
      <c r="P28" s="99"/>
      <c r="Q28" s="99"/>
      <c r="R28" s="99"/>
      <c r="W28" s="99"/>
      <c r="X28" s="99"/>
      <c r="Y28" s="99"/>
      <c r="Z28" s="99"/>
      <c r="AA28" s="99"/>
      <c r="AF28" s="99"/>
      <c r="AG28" s="99"/>
      <c r="AH28" s="99"/>
      <c r="AI28" s="99"/>
      <c r="AJ28" s="99"/>
    </row>
    <row r="29" spans="1:36">
      <c r="A29" s="146" t="s">
        <v>2339</v>
      </c>
      <c r="B29" s="34"/>
      <c r="E29" s="132"/>
      <c r="F29" s="99"/>
      <c r="G29" s="99"/>
      <c r="H29" s="99"/>
      <c r="I29" s="99"/>
      <c r="O29" s="99"/>
      <c r="P29" s="99"/>
      <c r="Q29" s="99"/>
      <c r="R29" s="99"/>
      <c r="W29" s="99"/>
      <c r="X29" s="99"/>
      <c r="Y29" s="99"/>
      <c r="Z29" s="99"/>
      <c r="AA29" s="99"/>
      <c r="AF29" s="99"/>
      <c r="AG29" s="99"/>
      <c r="AH29" s="99"/>
      <c r="AI29" s="99"/>
      <c r="AJ29" s="99"/>
    </row>
    <row r="30" spans="1:36">
      <c r="A30" s="111" t="s">
        <v>2340</v>
      </c>
      <c r="B30" s="34" t="s">
        <v>2341</v>
      </c>
      <c r="E30" s="132"/>
      <c r="F30" s="99"/>
      <c r="G30" s="99"/>
      <c r="H30" s="99"/>
      <c r="I30" s="99"/>
      <c r="O30" s="99"/>
      <c r="P30" s="99"/>
      <c r="Q30" s="99"/>
      <c r="R30" s="99"/>
      <c r="U30" t="s">
        <v>2334</v>
      </c>
      <c r="W30" s="99"/>
      <c r="X30" s="99"/>
      <c r="Y30" s="99"/>
      <c r="Z30" s="99"/>
      <c r="AA30" s="99"/>
      <c r="AF30" s="99"/>
      <c r="AG30" s="99"/>
      <c r="AH30" s="99"/>
      <c r="AI30" s="99"/>
      <c r="AJ30" s="99"/>
    </row>
    <row r="31" spans="1:36">
      <c r="A31" s="111" t="s">
        <v>2342</v>
      </c>
      <c r="B31" s="34" t="s">
        <v>2343</v>
      </c>
      <c r="E31" s="132"/>
      <c r="F31" s="248"/>
      <c r="G31" s="248"/>
      <c r="H31" s="248" t="s">
        <v>2334</v>
      </c>
      <c r="I31" s="248"/>
      <c r="O31" s="248"/>
      <c r="P31" s="248"/>
      <c r="Q31" s="248"/>
      <c r="R31" s="248"/>
      <c r="W31" s="248"/>
      <c r="X31" s="248"/>
      <c r="Y31" s="248"/>
      <c r="Z31" s="248"/>
      <c r="AA31" s="248"/>
      <c r="AF31" s="248"/>
      <c r="AG31" s="248"/>
      <c r="AH31" s="248"/>
      <c r="AI31" s="248"/>
      <c r="AJ31" s="248"/>
    </row>
    <row r="32" spans="1:36">
      <c r="A32" s="111" t="s">
        <v>2344</v>
      </c>
      <c r="B32" s="34" t="s">
        <v>2092</v>
      </c>
      <c r="E32" s="132"/>
      <c r="F32" s="248"/>
      <c r="G32" s="248"/>
      <c r="H32" s="248"/>
      <c r="I32" s="248"/>
      <c r="O32" s="248"/>
      <c r="P32" s="248"/>
      <c r="Q32" s="248"/>
      <c r="R32" s="248"/>
      <c r="W32" s="248"/>
      <c r="X32" s="248"/>
      <c r="Y32" s="248"/>
      <c r="Z32" s="248"/>
      <c r="AA32" s="248"/>
      <c r="AF32" s="248" t="s">
        <v>2315</v>
      </c>
      <c r="AG32" s="248"/>
      <c r="AH32" s="248"/>
      <c r="AI32" s="248"/>
      <c r="AJ32" s="248"/>
    </row>
    <row r="33" spans="1:36">
      <c r="A33" s="111" t="s">
        <v>2345</v>
      </c>
      <c r="B33" s="34" t="s">
        <v>2092</v>
      </c>
      <c r="E33" s="132"/>
      <c r="F33" s="100"/>
      <c r="G33" s="100"/>
      <c r="H33" s="100"/>
      <c r="I33" s="100"/>
      <c r="O33" s="100"/>
      <c r="P33" s="100"/>
      <c r="Q33" s="100"/>
      <c r="R33" s="100"/>
      <c r="T33" t="s">
        <v>2346</v>
      </c>
      <c r="W33" s="100"/>
      <c r="X33" s="100"/>
      <c r="Y33" s="100"/>
      <c r="Z33" s="100"/>
      <c r="AA33" s="100"/>
      <c r="AF33" s="100"/>
      <c r="AG33" s="100"/>
      <c r="AH33" s="100"/>
      <c r="AI33" s="100"/>
      <c r="AJ33" s="100"/>
    </row>
    <row r="34" spans="1:36">
      <c r="A34" s="34" t="s">
        <v>2347</v>
      </c>
      <c r="B34" s="34" t="s">
        <v>2348</v>
      </c>
      <c r="E34" s="132"/>
      <c r="F34" s="37"/>
      <c r="G34" s="37"/>
      <c r="H34" s="37"/>
      <c r="I34" s="37"/>
      <c r="O34" s="37"/>
      <c r="P34" s="37"/>
      <c r="Q34" s="37"/>
      <c r="R34" s="37"/>
      <c r="W34" s="37"/>
      <c r="X34" s="37"/>
      <c r="Y34" s="37"/>
      <c r="Z34" s="37"/>
      <c r="AA34" s="37"/>
      <c r="AF34" s="37"/>
      <c r="AG34" s="37"/>
      <c r="AH34" s="37"/>
      <c r="AI34" s="37"/>
      <c r="AJ34" s="37"/>
    </row>
    <row r="35" spans="1:36">
      <c r="A35" s="34"/>
      <c r="B35" s="34"/>
      <c r="E35" s="132"/>
      <c r="F35" s="99"/>
      <c r="G35" s="99"/>
      <c r="H35" s="99"/>
      <c r="I35" s="99"/>
      <c r="O35" s="99"/>
      <c r="P35" s="99"/>
      <c r="Q35" s="99"/>
      <c r="R35" s="99"/>
      <c r="W35" s="99"/>
      <c r="X35" s="99"/>
      <c r="Y35" s="99"/>
      <c r="Z35" s="99"/>
      <c r="AA35" s="99"/>
      <c r="AF35" s="99"/>
      <c r="AG35" s="99"/>
      <c r="AH35" s="99"/>
      <c r="AI35" s="99"/>
      <c r="AJ35" s="99"/>
    </row>
    <row r="36" spans="1:36">
      <c r="A36" s="146" t="s">
        <v>2159</v>
      </c>
      <c r="B36" s="34"/>
      <c r="E36" s="132"/>
      <c r="F36" s="99"/>
      <c r="G36" s="99"/>
      <c r="H36" s="99"/>
      <c r="I36" s="99"/>
      <c r="O36" s="99"/>
      <c r="P36" s="99"/>
      <c r="Q36" s="99"/>
      <c r="R36" s="99"/>
      <c r="W36" s="99"/>
      <c r="X36" s="99"/>
      <c r="Y36" s="99"/>
      <c r="Z36" s="99"/>
      <c r="AA36" s="99"/>
      <c r="AF36" s="99"/>
      <c r="AG36" s="99"/>
      <c r="AH36" s="99"/>
      <c r="AI36" s="99"/>
      <c r="AJ36" s="99"/>
    </row>
    <row r="37" spans="1:36" s="34" customFormat="1">
      <c r="A37" s="34" t="s">
        <v>2349</v>
      </c>
      <c r="B37" s="34" t="s">
        <v>2350</v>
      </c>
      <c r="C37" s="222"/>
      <c r="E37" s="223"/>
      <c r="F37" s="224"/>
      <c r="G37" s="224"/>
      <c r="H37" s="224"/>
      <c r="I37" s="224"/>
      <c r="K37" s="34" t="s">
        <v>2315</v>
      </c>
      <c r="O37" s="224"/>
      <c r="P37" s="224"/>
      <c r="Q37" s="224"/>
      <c r="R37" s="224"/>
      <c r="W37" s="224"/>
      <c r="X37" s="224"/>
      <c r="Y37" s="224"/>
      <c r="Z37" s="224"/>
      <c r="AA37" s="224"/>
      <c r="AF37" s="224"/>
      <c r="AG37" s="224"/>
      <c r="AH37" s="224"/>
      <c r="AI37" s="224"/>
      <c r="AJ37" s="224"/>
    </row>
    <row r="38" spans="1:36">
      <c r="A38" s="34" t="s">
        <v>2351</v>
      </c>
      <c r="B38" s="34" t="s">
        <v>2352</v>
      </c>
      <c r="E38" s="132"/>
      <c r="F38" s="99"/>
      <c r="G38" s="99"/>
      <c r="H38" s="99"/>
      <c r="I38" s="99"/>
      <c r="O38" s="99"/>
      <c r="P38" s="99"/>
      <c r="Q38" s="182"/>
      <c r="R38" s="182" t="s">
        <v>2315</v>
      </c>
      <c r="W38" s="99"/>
      <c r="X38" s="99"/>
      <c r="Y38" s="99"/>
      <c r="Z38" s="99"/>
      <c r="AA38" s="99"/>
      <c r="AF38" s="99"/>
      <c r="AG38" s="99"/>
      <c r="AH38" s="99"/>
      <c r="AI38" s="99"/>
      <c r="AJ38" s="99"/>
    </row>
    <row r="39" spans="1:36">
      <c r="A39" s="34" t="s">
        <v>2353</v>
      </c>
      <c r="B39" s="34"/>
      <c r="E39" s="132"/>
      <c r="F39" s="99"/>
      <c r="G39" s="99"/>
      <c r="H39" s="99"/>
      <c r="I39" s="99"/>
      <c r="O39" s="99"/>
      <c r="P39" s="119"/>
      <c r="Q39" s="182"/>
      <c r="R39" s="99"/>
      <c r="V39" s="328" t="s">
        <v>2315</v>
      </c>
      <c r="W39" s="99"/>
      <c r="X39" s="99"/>
      <c r="Y39" s="99"/>
      <c r="Z39" s="99"/>
      <c r="AA39" s="99"/>
      <c r="AF39" s="99"/>
      <c r="AG39" s="99"/>
      <c r="AH39" s="99"/>
      <c r="AI39" s="99"/>
      <c r="AJ39" s="99"/>
    </row>
    <row r="40" spans="1:36">
      <c r="A40" s="34" t="s">
        <v>2354</v>
      </c>
      <c r="B40" s="34"/>
      <c r="E40" s="132"/>
      <c r="F40" s="99"/>
      <c r="G40" s="99"/>
      <c r="H40" s="99"/>
      <c r="I40" s="99"/>
      <c r="O40" s="99"/>
      <c r="P40" s="99"/>
      <c r="Q40" s="99"/>
      <c r="R40" s="119" t="s">
        <v>2315</v>
      </c>
      <c r="W40" s="99"/>
      <c r="X40" s="99"/>
      <c r="Y40" s="99"/>
      <c r="Z40" s="99"/>
      <c r="AA40" s="99"/>
      <c r="AF40" s="99"/>
      <c r="AG40" s="99"/>
      <c r="AH40" s="99"/>
      <c r="AI40" s="99"/>
      <c r="AJ40" s="99"/>
    </row>
    <row r="41" spans="1:36">
      <c r="A41" s="34"/>
      <c r="B41" s="34"/>
      <c r="E41" s="132"/>
      <c r="F41" s="99"/>
      <c r="G41" s="99"/>
      <c r="H41" s="99"/>
      <c r="I41" s="99"/>
      <c r="O41" s="99"/>
      <c r="P41" s="99"/>
      <c r="Q41" s="99"/>
      <c r="R41" s="99"/>
      <c r="W41" s="99"/>
      <c r="X41" s="99"/>
      <c r="Y41" s="99"/>
      <c r="Z41" s="99"/>
      <c r="AA41" s="99"/>
      <c r="AF41" s="99"/>
      <c r="AG41" s="99"/>
      <c r="AH41" s="99"/>
      <c r="AI41" s="99"/>
      <c r="AJ41" s="99"/>
    </row>
    <row r="42" spans="1:36">
      <c r="A42" s="34"/>
      <c r="B42" s="34"/>
      <c r="E42" s="132"/>
      <c r="F42" s="99"/>
      <c r="G42" s="99"/>
      <c r="H42" s="99"/>
      <c r="I42" s="99"/>
      <c r="O42" s="99"/>
      <c r="P42" s="99"/>
      <c r="Q42" s="99"/>
      <c r="R42" s="99"/>
      <c r="W42" s="99"/>
      <c r="X42" s="99"/>
      <c r="Y42" s="99"/>
      <c r="Z42" s="99"/>
      <c r="AA42" s="99"/>
      <c r="AF42" s="99"/>
      <c r="AG42" s="99"/>
      <c r="AH42" s="99"/>
      <c r="AI42" s="99"/>
      <c r="AJ42" s="99"/>
    </row>
    <row r="43" spans="1:36">
      <c r="A43" s="34"/>
      <c r="B43" s="34"/>
      <c r="E43" s="132"/>
      <c r="F43" s="99"/>
      <c r="G43" s="99"/>
      <c r="H43" s="99"/>
      <c r="I43" s="99"/>
      <c r="O43" s="99"/>
      <c r="P43" s="99"/>
      <c r="Q43" s="99"/>
      <c r="R43" s="99"/>
      <c r="W43" s="99"/>
      <c r="X43" s="99"/>
      <c r="Y43" s="99"/>
      <c r="Z43" s="99"/>
      <c r="AA43" s="99"/>
      <c r="AF43" s="99"/>
      <c r="AG43" s="99"/>
      <c r="AH43" s="99"/>
      <c r="AI43" s="99"/>
      <c r="AJ43" s="99"/>
    </row>
    <row r="44" spans="1:36">
      <c r="A44" s="34"/>
      <c r="B44" s="34"/>
      <c r="E44" s="132"/>
      <c r="F44" s="99"/>
      <c r="G44" s="99"/>
      <c r="H44" s="99"/>
      <c r="I44" s="99"/>
      <c r="O44" s="99"/>
      <c r="P44" s="99"/>
      <c r="Q44" s="99"/>
      <c r="R44" s="99"/>
      <c r="W44" s="99"/>
      <c r="X44" s="99"/>
      <c r="Y44" s="99"/>
      <c r="Z44" s="99"/>
      <c r="AA44" s="99"/>
      <c r="AF44" s="99"/>
      <c r="AG44" s="99"/>
      <c r="AH44" s="99"/>
      <c r="AI44" s="99"/>
      <c r="AJ44" s="99"/>
    </row>
    <row r="45" spans="1:36">
      <c r="A45" s="34"/>
      <c r="B45" s="34"/>
      <c r="E45" s="132"/>
      <c r="F45" s="99"/>
      <c r="G45" s="99"/>
      <c r="H45" s="99"/>
      <c r="I45" s="99"/>
      <c r="O45" s="99"/>
      <c r="P45" s="99"/>
      <c r="Q45" s="99"/>
      <c r="R45" s="99"/>
      <c r="W45" s="99"/>
      <c r="X45" s="99"/>
      <c r="Y45" s="99"/>
      <c r="Z45" s="99"/>
      <c r="AA45" s="99"/>
      <c r="AF45" s="99"/>
      <c r="AG45" s="99"/>
      <c r="AH45" s="99"/>
      <c r="AI45" s="99"/>
      <c r="AJ45" s="99"/>
    </row>
    <row r="46" spans="1:36">
      <c r="A46" s="34"/>
      <c r="B46" s="34"/>
      <c r="E46" s="132"/>
      <c r="F46" s="99"/>
      <c r="G46" s="99"/>
      <c r="H46" s="99"/>
      <c r="I46" s="99"/>
      <c r="O46" s="99"/>
      <c r="P46" s="99"/>
      <c r="Q46" s="99"/>
      <c r="R46" s="99"/>
      <c r="W46" s="99"/>
      <c r="X46" s="99"/>
      <c r="Y46" s="99"/>
      <c r="Z46" s="99"/>
      <c r="AA46" s="99"/>
      <c r="AF46" s="99"/>
      <c r="AG46" s="99"/>
      <c r="AH46" s="99"/>
      <c r="AI46" s="99"/>
      <c r="AJ46" s="99"/>
    </row>
    <row r="47" spans="1:36">
      <c r="A47" s="34"/>
      <c r="B47" s="34"/>
      <c r="E47" s="132"/>
      <c r="F47" s="99"/>
      <c r="G47" s="99"/>
      <c r="H47" s="99"/>
      <c r="I47" s="99"/>
      <c r="O47" s="99"/>
      <c r="P47" s="99"/>
      <c r="Q47" s="99"/>
      <c r="R47" s="99"/>
      <c r="W47" s="99"/>
      <c r="X47" s="99"/>
      <c r="Y47" s="99"/>
      <c r="Z47" s="99"/>
      <c r="AA47" s="99"/>
      <c r="AF47" s="99"/>
      <c r="AG47" s="99"/>
      <c r="AH47" s="99"/>
      <c r="AI47" s="99"/>
      <c r="AJ47" s="99"/>
    </row>
    <row r="48" spans="1:36">
      <c r="A48" s="34"/>
      <c r="B48" s="34"/>
      <c r="E48" s="132"/>
      <c r="F48" s="99"/>
      <c r="G48" s="99"/>
      <c r="H48" s="99"/>
      <c r="I48" s="99"/>
      <c r="O48" s="99"/>
      <c r="P48" s="99"/>
      <c r="Q48" s="99"/>
      <c r="R48" s="99"/>
      <c r="W48" s="99"/>
      <c r="X48" s="99"/>
      <c r="Y48" s="99"/>
      <c r="Z48" s="99"/>
      <c r="AA48" s="99"/>
      <c r="AF48" s="99"/>
      <c r="AG48" s="99"/>
      <c r="AH48" s="99"/>
      <c r="AI48" s="99"/>
      <c r="AJ48" s="99"/>
    </row>
    <row r="49" spans="1:36">
      <c r="A49" s="34"/>
      <c r="B49" s="34"/>
      <c r="E49" s="132"/>
      <c r="F49" s="99"/>
      <c r="G49" s="99"/>
      <c r="H49" s="99"/>
      <c r="I49" s="99"/>
      <c r="O49" s="99"/>
      <c r="P49" s="99"/>
      <c r="Q49" s="99"/>
      <c r="R49" s="99"/>
      <c r="W49" s="99"/>
      <c r="X49" s="99"/>
      <c r="Y49" s="99"/>
      <c r="Z49" s="99"/>
      <c r="AA49" s="99"/>
      <c r="AF49" s="99"/>
      <c r="AG49" s="99"/>
      <c r="AH49" s="99"/>
      <c r="AI49" s="99"/>
      <c r="AJ49" s="99"/>
    </row>
    <row r="50" spans="1:36">
      <c r="A50" s="5" t="s">
        <v>2355</v>
      </c>
      <c r="B50" s="5"/>
      <c r="F50" s="99"/>
      <c r="G50" s="99"/>
      <c r="H50" s="99"/>
      <c r="I50" s="99"/>
      <c r="O50" s="99"/>
      <c r="P50" s="99"/>
      <c r="Q50" s="99"/>
      <c r="R50" s="99"/>
      <c r="W50" s="99"/>
      <c r="X50" s="99"/>
      <c r="Y50" s="99"/>
      <c r="Z50" s="99"/>
      <c r="AA50" s="99"/>
      <c r="AF50" s="99"/>
      <c r="AG50" s="99"/>
      <c r="AH50" s="99"/>
      <c r="AI50" s="99"/>
      <c r="AJ50" s="99"/>
    </row>
    <row r="51" spans="1:36">
      <c r="A51" s="34" t="s">
        <v>2356</v>
      </c>
      <c r="B51" s="34"/>
      <c r="F51" s="99"/>
      <c r="G51" s="99"/>
      <c r="H51" s="99"/>
      <c r="I51" s="99"/>
      <c r="O51" s="99"/>
      <c r="P51" s="99"/>
      <c r="Q51" s="99"/>
      <c r="R51" s="99"/>
      <c r="W51" s="99"/>
      <c r="X51" s="99"/>
      <c r="Y51" s="99"/>
      <c r="Z51" s="99"/>
      <c r="AA51" s="99"/>
      <c r="AF51" s="99"/>
      <c r="AG51" s="99"/>
      <c r="AH51" s="99"/>
      <c r="AI51" s="99"/>
      <c r="AJ51" s="99"/>
    </row>
    <row r="52" spans="1:36">
      <c r="A52" s="34" t="s">
        <v>2357</v>
      </c>
      <c r="B52" s="34" t="s">
        <v>2090</v>
      </c>
      <c r="F52" s="99"/>
      <c r="G52" s="99"/>
      <c r="H52" s="99"/>
      <c r="I52" s="99"/>
      <c r="O52" s="99"/>
      <c r="P52" s="99"/>
      <c r="Q52" s="99"/>
      <c r="R52" s="99"/>
      <c r="W52" s="99"/>
      <c r="X52" s="99"/>
      <c r="Y52" s="99"/>
      <c r="Z52" s="99"/>
      <c r="AA52" s="99"/>
      <c r="AF52" s="99"/>
      <c r="AG52" s="99"/>
      <c r="AH52" s="99"/>
      <c r="AI52" s="99"/>
      <c r="AJ52" s="99"/>
    </row>
    <row r="53" spans="1:36">
      <c r="A53" s="34" t="s">
        <v>2358</v>
      </c>
      <c r="B53" s="34" t="s">
        <v>2359</v>
      </c>
      <c r="F53" s="99"/>
      <c r="G53" s="99"/>
      <c r="H53" s="99"/>
      <c r="I53" s="99"/>
      <c r="O53" s="99"/>
      <c r="P53" s="99"/>
      <c r="Q53" s="99"/>
      <c r="R53" s="99"/>
      <c r="W53" s="99"/>
      <c r="X53" s="99"/>
      <c r="Y53" s="99"/>
      <c r="Z53" s="99"/>
      <c r="AA53" s="99"/>
      <c r="AF53" s="99"/>
      <c r="AG53" s="99"/>
      <c r="AH53" s="99"/>
      <c r="AI53" s="99"/>
      <c r="AJ53" s="99"/>
    </row>
    <row r="54" spans="1:36">
      <c r="A54" s="34" t="s">
        <v>2360</v>
      </c>
      <c r="B54" s="34" t="s">
        <v>2090</v>
      </c>
      <c r="F54" s="99"/>
      <c r="G54" s="99"/>
      <c r="H54" s="99"/>
      <c r="I54" s="99"/>
      <c r="O54" s="99"/>
      <c r="P54" s="99"/>
      <c r="Q54" s="99"/>
      <c r="R54" s="99"/>
      <c r="W54" s="99"/>
      <c r="X54" s="99"/>
      <c r="Y54" s="99"/>
      <c r="Z54" s="99"/>
      <c r="AA54" s="99"/>
      <c r="AF54" s="99"/>
      <c r="AG54" s="99"/>
      <c r="AH54" s="99"/>
      <c r="AI54" s="99"/>
      <c r="AJ54" s="99"/>
    </row>
    <row r="55" spans="1:36">
      <c r="A55" s="34" t="s">
        <v>2361</v>
      </c>
      <c r="B55" s="34" t="s">
        <v>2090</v>
      </c>
      <c r="F55" s="99"/>
      <c r="G55" s="99"/>
      <c r="H55" s="99"/>
      <c r="I55" s="99"/>
      <c r="O55" s="99"/>
      <c r="P55" s="99"/>
      <c r="Q55" s="99"/>
      <c r="R55" s="99"/>
      <c r="W55" s="99"/>
      <c r="X55" s="99"/>
      <c r="Y55" s="99"/>
      <c r="Z55" s="99"/>
      <c r="AA55" s="99"/>
      <c r="AF55" s="99"/>
      <c r="AG55" s="99"/>
      <c r="AH55" s="99"/>
      <c r="AI55" s="99"/>
      <c r="AJ55" s="99"/>
    </row>
    <row r="56" spans="1:36">
      <c r="A56" s="34" t="s">
        <v>2362</v>
      </c>
      <c r="B56" s="34" t="s">
        <v>2314</v>
      </c>
      <c r="F56" s="99"/>
      <c r="G56" s="99"/>
      <c r="H56" s="99"/>
      <c r="I56" s="99"/>
      <c r="O56" s="99"/>
      <c r="P56" s="99"/>
      <c r="Q56" s="99"/>
      <c r="R56" s="99"/>
      <c r="W56" s="99"/>
      <c r="X56" s="99"/>
      <c r="Y56" s="99"/>
      <c r="Z56" s="99"/>
      <c r="AA56" s="99"/>
      <c r="AF56" s="99"/>
      <c r="AG56" s="99"/>
      <c r="AH56" s="99"/>
      <c r="AI56" s="99"/>
      <c r="AJ56" s="99"/>
    </row>
    <row r="57" spans="1:36">
      <c r="A57" s="114" t="str">
        <f>F7</f>
        <v>Go Digital Energy Summit, Amsterdam (2-4 June)</v>
      </c>
      <c r="B57" s="114"/>
      <c r="F57" s="99"/>
      <c r="G57" s="99"/>
      <c r="H57" s="99"/>
      <c r="I57" s="99"/>
      <c r="O57" s="99"/>
      <c r="P57" s="99"/>
      <c r="Q57" s="99"/>
      <c r="R57" s="99"/>
      <c r="W57" s="99"/>
      <c r="X57" s="99"/>
      <c r="Y57" s="99"/>
      <c r="Z57" s="99"/>
      <c r="AA57" s="99"/>
      <c r="AF57" s="99"/>
      <c r="AG57" s="99"/>
      <c r="AH57" s="99"/>
      <c r="AI57" s="99"/>
      <c r="AJ57" s="99"/>
    </row>
    <row r="58" spans="1:36">
      <c r="A58" s="34" t="s">
        <v>2363</v>
      </c>
      <c r="B58" s="34"/>
      <c r="E58" s="118" t="s">
        <v>2315</v>
      </c>
      <c r="F58" s="99"/>
      <c r="G58" s="99"/>
      <c r="H58" s="99"/>
      <c r="I58" s="99"/>
      <c r="O58" s="99"/>
      <c r="P58" s="99"/>
      <c r="Q58" s="99"/>
      <c r="R58" s="99"/>
      <c r="W58" s="99"/>
      <c r="X58" s="99"/>
      <c r="Y58" s="99"/>
      <c r="Z58" s="99"/>
      <c r="AA58" s="99"/>
      <c r="AF58" s="99"/>
      <c r="AG58" s="99"/>
      <c r="AH58" s="99"/>
      <c r="AI58" s="99"/>
      <c r="AJ58" s="99"/>
    </row>
    <row r="59" spans="1:36">
      <c r="A59" s="34" t="s">
        <v>2364</v>
      </c>
      <c r="B59" s="34"/>
      <c r="E59" s="118" t="s">
        <v>2315</v>
      </c>
      <c r="F59" s="99"/>
      <c r="G59" s="99"/>
      <c r="H59" s="99"/>
      <c r="I59" s="99"/>
      <c r="O59" s="99"/>
      <c r="P59" s="99"/>
      <c r="Q59" s="99"/>
      <c r="R59" s="99"/>
      <c r="W59" s="99"/>
      <c r="X59" s="99"/>
      <c r="Y59" s="99"/>
      <c r="Z59" s="99"/>
      <c r="AA59" s="99"/>
      <c r="AF59" s="99"/>
      <c r="AG59" s="99"/>
      <c r="AH59" s="99"/>
      <c r="AI59" s="99"/>
      <c r="AJ59" s="99"/>
    </row>
    <row r="60" spans="1:36">
      <c r="A60" s="34" t="s">
        <v>2365</v>
      </c>
      <c r="B60" s="34"/>
      <c r="E60" s="328" t="s">
        <v>2315</v>
      </c>
      <c r="F60" s="99"/>
      <c r="G60" s="99"/>
      <c r="H60" s="99"/>
      <c r="I60" s="99"/>
      <c r="O60" s="99"/>
      <c r="P60" s="99"/>
      <c r="Q60" s="99"/>
      <c r="R60" s="99"/>
      <c r="W60" s="99"/>
      <c r="X60" s="99"/>
      <c r="Y60" s="99"/>
      <c r="Z60" s="99"/>
      <c r="AA60" s="99"/>
      <c r="AF60" s="99"/>
      <c r="AG60" s="99"/>
      <c r="AH60" s="99"/>
      <c r="AI60" s="99"/>
      <c r="AJ60" s="99"/>
    </row>
    <row r="61" spans="1:36">
      <c r="A61" s="34" t="s">
        <v>2366</v>
      </c>
      <c r="B61" s="34"/>
      <c r="E61" s="328" t="s">
        <v>2315</v>
      </c>
      <c r="F61" s="99"/>
      <c r="G61" s="99"/>
      <c r="H61" s="99"/>
      <c r="I61" s="99"/>
      <c r="O61" s="99"/>
      <c r="P61" s="99"/>
      <c r="Q61" s="99"/>
      <c r="R61" s="99"/>
      <c r="W61" s="99"/>
      <c r="X61" s="99"/>
      <c r="Y61" s="99"/>
      <c r="Z61" s="99"/>
      <c r="AA61" s="99"/>
      <c r="AF61" s="99"/>
      <c r="AG61" s="99"/>
      <c r="AH61" s="99"/>
      <c r="AI61" s="99"/>
      <c r="AJ61" s="99"/>
    </row>
    <row r="62" spans="1:36">
      <c r="A62" s="130" t="s">
        <v>2367</v>
      </c>
      <c r="B62" s="130"/>
      <c r="E62" s="328" t="s">
        <v>2315</v>
      </c>
      <c r="F62" s="119"/>
      <c r="G62" s="119"/>
      <c r="H62" s="99"/>
      <c r="I62" s="99"/>
      <c r="O62" s="99"/>
      <c r="P62" s="99"/>
      <c r="Q62" s="99"/>
      <c r="R62" s="99"/>
      <c r="W62" s="99"/>
      <c r="X62" s="99"/>
      <c r="Y62" s="99"/>
      <c r="Z62" s="99"/>
      <c r="AA62" s="99"/>
      <c r="AF62" s="99"/>
      <c r="AG62" s="99"/>
      <c r="AH62" s="99"/>
      <c r="AI62" s="99"/>
      <c r="AJ62" s="99"/>
    </row>
    <row r="63" spans="1:36">
      <c r="A63" s="34" t="s">
        <v>2368</v>
      </c>
      <c r="B63" s="34"/>
      <c r="E63" s="328"/>
      <c r="F63" s="119" t="s">
        <v>2315</v>
      </c>
      <c r="G63" s="119"/>
      <c r="H63" s="99"/>
      <c r="I63" s="99"/>
      <c r="O63" s="99"/>
      <c r="P63" s="99"/>
      <c r="Q63" s="99"/>
      <c r="R63" s="99"/>
      <c r="W63" s="99"/>
      <c r="X63" s="99"/>
      <c r="Y63" s="99"/>
      <c r="Z63" s="99"/>
      <c r="AA63" s="99"/>
      <c r="AF63" s="99"/>
      <c r="AG63" s="99"/>
      <c r="AH63" s="99"/>
      <c r="AI63" s="99"/>
      <c r="AJ63" s="99"/>
    </row>
    <row r="64" spans="1:36">
      <c r="A64" s="34" t="s">
        <v>2369</v>
      </c>
      <c r="B64" s="34"/>
      <c r="E64" s="328"/>
      <c r="F64" s="119"/>
      <c r="G64" s="119" t="s">
        <v>2315</v>
      </c>
      <c r="H64" s="99"/>
      <c r="I64" s="99"/>
      <c r="O64" s="99"/>
      <c r="P64" s="99"/>
      <c r="Q64" s="99"/>
      <c r="R64" s="99"/>
      <c r="W64" s="99"/>
      <c r="X64" s="99"/>
      <c r="Y64" s="99"/>
      <c r="Z64" s="99"/>
      <c r="AA64" s="99"/>
      <c r="AF64" s="99"/>
      <c r="AG64" s="99"/>
      <c r="AH64" s="99"/>
      <c r="AI64" s="99"/>
      <c r="AJ64" s="99"/>
    </row>
    <row r="65" spans="1:36">
      <c r="A65" s="34"/>
      <c r="B65" s="34"/>
      <c r="E65" s="328"/>
      <c r="F65" s="99"/>
      <c r="G65" s="99"/>
      <c r="H65" s="99"/>
      <c r="I65" s="99"/>
      <c r="O65" s="99"/>
      <c r="P65" s="99"/>
      <c r="Q65" s="99"/>
      <c r="R65" s="99"/>
      <c r="W65" s="99"/>
      <c r="X65" s="99"/>
      <c r="Y65" s="99"/>
      <c r="Z65" s="99"/>
      <c r="AA65" s="99"/>
      <c r="AF65" s="99"/>
      <c r="AG65" s="99"/>
      <c r="AH65" s="99"/>
      <c r="AI65" s="99"/>
      <c r="AJ65" s="99"/>
    </row>
    <row r="66" spans="1:36">
      <c r="A66" s="103" t="str">
        <f>S7</f>
        <v>LAUNCH OF mAInt PRISM?</v>
      </c>
      <c r="B66" s="103"/>
      <c r="F66" s="99"/>
      <c r="G66" s="99"/>
      <c r="H66" s="99"/>
      <c r="I66" s="99"/>
      <c r="O66" s="99"/>
      <c r="P66" s="99"/>
      <c r="Q66" s="99"/>
      <c r="R66" s="99"/>
      <c r="S66" s="120" t="s">
        <v>2315</v>
      </c>
      <c r="W66" s="99"/>
      <c r="X66" s="99"/>
      <c r="Y66" s="99"/>
      <c r="Z66" s="99"/>
      <c r="AA66" s="99"/>
      <c r="AF66" s="99"/>
      <c r="AG66" s="99"/>
      <c r="AH66" s="99"/>
      <c r="AI66" s="99"/>
      <c r="AJ66" s="99"/>
    </row>
    <row r="67" spans="1:36">
      <c r="A67" s="34" t="s">
        <v>2370</v>
      </c>
      <c r="B67" s="34"/>
      <c r="F67" s="99"/>
      <c r="G67" s="99"/>
      <c r="H67" s="99"/>
      <c r="I67" s="99"/>
      <c r="O67" s="99"/>
      <c r="P67" s="99"/>
      <c r="Q67" s="99"/>
      <c r="R67" s="99"/>
      <c r="S67" t="s">
        <v>2315</v>
      </c>
      <c r="W67" s="99"/>
      <c r="X67" s="99"/>
      <c r="Y67" s="99"/>
      <c r="Z67" s="99"/>
      <c r="AA67" s="99"/>
      <c r="AF67" s="99"/>
      <c r="AG67" s="99"/>
      <c r="AH67" s="99"/>
      <c r="AI67" s="99"/>
      <c r="AJ67" s="99"/>
    </row>
    <row r="68" spans="1:36">
      <c r="A68" s="34" t="s">
        <v>2371</v>
      </c>
      <c r="B68" s="34"/>
      <c r="F68" s="99"/>
      <c r="G68" s="99"/>
      <c r="H68" s="99"/>
      <c r="I68" s="99"/>
      <c r="O68" s="99"/>
      <c r="P68" s="99"/>
      <c r="Q68" s="99"/>
      <c r="R68" s="99"/>
      <c r="S68" s="328" t="s">
        <v>2315</v>
      </c>
      <c r="W68" s="99"/>
      <c r="X68" s="99"/>
      <c r="Y68" s="99"/>
      <c r="Z68" s="99"/>
      <c r="AA68" s="99"/>
      <c r="AF68" s="99"/>
      <c r="AG68" s="99"/>
      <c r="AH68" s="99"/>
      <c r="AI68" s="99"/>
      <c r="AJ68" s="99"/>
    </row>
    <row r="69" spans="1:36">
      <c r="A69" s="34" t="s">
        <v>2372</v>
      </c>
      <c r="B69" s="34"/>
      <c r="F69" s="99"/>
      <c r="G69" s="99"/>
      <c r="H69" s="99"/>
      <c r="I69" s="99"/>
      <c r="O69" s="99"/>
      <c r="P69" s="99"/>
      <c r="Q69" s="99"/>
      <c r="R69" s="99"/>
      <c r="S69" s="132" t="s">
        <v>2315</v>
      </c>
      <c r="W69" s="99"/>
      <c r="X69" s="99"/>
      <c r="Y69" s="99"/>
      <c r="Z69" s="99"/>
      <c r="AA69" s="99"/>
      <c r="AF69" s="99"/>
      <c r="AG69" s="99"/>
      <c r="AH69" s="99"/>
      <c r="AI69" s="99"/>
      <c r="AJ69" s="99"/>
    </row>
    <row r="70" spans="1:36">
      <c r="A70" s="133" t="s">
        <v>2373</v>
      </c>
      <c r="B70" s="133"/>
      <c r="F70" s="99"/>
      <c r="G70" s="99"/>
      <c r="H70" s="99"/>
      <c r="I70" s="99"/>
      <c r="J70" s="328" t="s">
        <v>2315</v>
      </c>
      <c r="K70" s="328"/>
      <c r="L70" s="328"/>
      <c r="O70" s="99"/>
      <c r="P70" s="99"/>
      <c r="Q70" s="99"/>
      <c r="R70" s="99"/>
      <c r="W70" s="99"/>
      <c r="X70" s="99"/>
      <c r="Y70" s="99"/>
      <c r="Z70" s="99"/>
      <c r="AA70" s="99"/>
      <c r="AF70" s="99"/>
      <c r="AG70" s="99"/>
      <c r="AH70" s="99"/>
      <c r="AI70" s="99"/>
      <c r="AJ70" s="99"/>
    </row>
    <row r="71" spans="1:36">
      <c r="A71" s="34" t="s">
        <v>2374</v>
      </c>
      <c r="B71" s="34"/>
      <c r="F71" s="99"/>
      <c r="G71" s="99"/>
      <c r="H71" s="99"/>
      <c r="I71" s="99"/>
      <c r="J71" s="328"/>
      <c r="K71" s="328" t="s">
        <v>2315</v>
      </c>
      <c r="L71" s="328"/>
      <c r="O71" s="99"/>
      <c r="P71" s="99"/>
      <c r="Q71" s="99"/>
      <c r="R71" s="99"/>
      <c r="W71" s="99"/>
      <c r="X71" s="99"/>
      <c r="Y71" s="99"/>
      <c r="Z71" s="99"/>
      <c r="AA71" s="99"/>
      <c r="AF71" s="99"/>
      <c r="AG71" s="99"/>
      <c r="AH71" s="99"/>
      <c r="AI71" s="99"/>
      <c r="AJ71" s="99"/>
    </row>
    <row r="72" spans="1:36">
      <c r="A72" s="34" t="s">
        <v>2375</v>
      </c>
      <c r="B72" s="34"/>
      <c r="F72" s="99"/>
      <c r="G72" s="99"/>
      <c r="H72" s="99"/>
      <c r="I72" s="99"/>
      <c r="J72" s="328"/>
      <c r="K72" s="328"/>
      <c r="L72" s="328" t="s">
        <v>2315</v>
      </c>
      <c r="O72" s="99"/>
      <c r="P72" s="99"/>
      <c r="Q72" s="99"/>
      <c r="R72" s="99"/>
      <c r="W72" s="99"/>
      <c r="X72" s="99"/>
      <c r="Y72" s="99"/>
      <c r="Z72" s="99"/>
      <c r="AA72" s="99"/>
      <c r="AF72" s="99"/>
      <c r="AG72" s="99"/>
      <c r="AH72" s="99"/>
      <c r="AI72" s="99"/>
      <c r="AJ72" s="99"/>
    </row>
    <row r="73" spans="1:36">
      <c r="A73" s="34" t="s">
        <v>2376</v>
      </c>
      <c r="B73" s="34"/>
      <c r="F73" s="99"/>
      <c r="G73" s="99"/>
      <c r="H73" s="99"/>
      <c r="I73" s="99"/>
      <c r="K73" s="328" t="s">
        <v>2315</v>
      </c>
      <c r="O73" s="99"/>
      <c r="P73" s="99"/>
      <c r="Q73" s="99"/>
      <c r="R73" s="99"/>
      <c r="W73" s="99"/>
      <c r="X73" s="99"/>
      <c r="Y73" s="99"/>
      <c r="Z73" s="99"/>
      <c r="AA73" s="99"/>
      <c r="AF73" s="99"/>
      <c r="AG73" s="99"/>
      <c r="AH73" s="99"/>
      <c r="AI73" s="99"/>
      <c r="AJ73" s="99"/>
    </row>
    <row r="74" spans="1:36">
      <c r="A74" s="34" t="s">
        <v>2377</v>
      </c>
      <c r="B74" s="34"/>
      <c r="E74" s="328" t="s">
        <v>2315</v>
      </c>
      <c r="F74" s="99"/>
      <c r="G74" s="99"/>
      <c r="H74" s="99"/>
      <c r="I74" s="99"/>
      <c r="O74" s="99"/>
      <c r="P74" s="99"/>
      <c r="Q74" s="99"/>
      <c r="R74" s="99"/>
      <c r="W74" s="99"/>
      <c r="X74" s="99"/>
      <c r="Y74" s="99"/>
      <c r="Z74" s="99"/>
      <c r="AA74" s="99"/>
      <c r="AF74" s="99"/>
      <c r="AG74" s="99"/>
      <c r="AH74" s="99"/>
      <c r="AI74" s="99"/>
      <c r="AJ74" s="99"/>
    </row>
    <row r="75" spans="1:36">
      <c r="A75" s="34" t="s">
        <v>2378</v>
      </c>
      <c r="B75" s="34"/>
      <c r="F75" s="99"/>
      <c r="G75" s="99"/>
      <c r="H75" s="99"/>
      <c r="I75" s="99"/>
      <c r="O75" s="99"/>
      <c r="P75" s="99"/>
      <c r="Q75" s="99"/>
      <c r="R75" s="99"/>
      <c r="W75" s="99"/>
      <c r="X75" s="99"/>
      <c r="Y75" s="99"/>
      <c r="Z75" s="99"/>
      <c r="AA75" s="99"/>
      <c r="AF75" s="99"/>
      <c r="AG75" s="99"/>
      <c r="AH75" s="99"/>
      <c r="AI75" s="99"/>
      <c r="AJ75" s="99"/>
    </row>
    <row r="76" spans="1:36">
      <c r="A76" s="34" t="s">
        <v>2379</v>
      </c>
      <c r="B76" s="34"/>
      <c r="E76" s="328" t="s">
        <v>2315</v>
      </c>
      <c r="F76" s="99"/>
      <c r="G76" s="99"/>
      <c r="H76" s="99"/>
      <c r="I76" s="99"/>
      <c r="O76" s="99"/>
      <c r="P76" s="99"/>
      <c r="Q76" s="99"/>
      <c r="R76" s="99"/>
      <c r="W76" s="99"/>
      <c r="X76" s="99"/>
      <c r="Y76" s="99"/>
      <c r="Z76" s="99"/>
      <c r="AA76" s="99"/>
      <c r="AF76" s="99"/>
      <c r="AG76" s="99"/>
      <c r="AH76" s="99"/>
      <c r="AI76" s="99"/>
      <c r="AJ76" s="99"/>
    </row>
    <row r="77" spans="1:36">
      <c r="A77" s="34"/>
      <c r="B77" s="34"/>
      <c r="E77" s="328"/>
      <c r="F77" s="99"/>
      <c r="G77" s="99"/>
      <c r="H77" s="99"/>
      <c r="I77" s="99"/>
      <c r="O77" s="99"/>
      <c r="P77" s="99"/>
      <c r="Q77" s="99"/>
      <c r="R77" s="99"/>
      <c r="W77" s="99"/>
      <c r="X77" s="99"/>
      <c r="Y77" s="99"/>
      <c r="Z77" s="99"/>
      <c r="AA77" s="99"/>
      <c r="AF77" s="99"/>
      <c r="AG77" s="99"/>
      <c r="AH77" s="99"/>
      <c r="AI77" s="99"/>
      <c r="AJ77" s="99"/>
    </row>
    <row r="78" spans="1:36">
      <c r="A78" s="34"/>
      <c r="B78" s="34"/>
      <c r="F78" s="99"/>
      <c r="G78" s="99"/>
      <c r="H78" s="99"/>
      <c r="I78" s="99"/>
      <c r="O78" s="99"/>
      <c r="P78" s="99"/>
      <c r="Q78" s="99"/>
      <c r="R78" s="99"/>
      <c r="W78" s="99"/>
      <c r="X78" s="99"/>
      <c r="Y78" s="99"/>
      <c r="Z78" s="99"/>
      <c r="AA78" s="99"/>
      <c r="AF78" s="99"/>
      <c r="AG78" s="99"/>
      <c r="AH78" s="99"/>
      <c r="AI78" s="99"/>
      <c r="AJ78" s="99"/>
    </row>
    <row r="79" spans="1:36">
      <c r="A79" s="5"/>
      <c r="B79" s="5"/>
      <c r="F79" s="99"/>
      <c r="G79" s="99"/>
      <c r="H79" s="99"/>
      <c r="I79" s="99"/>
      <c r="O79" s="99"/>
      <c r="P79" s="99"/>
      <c r="Q79" s="99"/>
      <c r="R79" s="99"/>
      <c r="W79" s="99"/>
      <c r="X79" s="99"/>
      <c r="Y79" s="99"/>
      <c r="Z79" s="99"/>
      <c r="AA79" s="99"/>
      <c r="AF79" s="99"/>
      <c r="AG79" s="99"/>
      <c r="AH79" s="99"/>
      <c r="AI79" s="99"/>
      <c r="AJ79" s="99"/>
    </row>
    <row r="80" spans="1:36">
      <c r="A80" s="114" t="s">
        <v>2306</v>
      </c>
      <c r="B80" s="114"/>
      <c r="F80" s="99"/>
      <c r="G80" s="99"/>
      <c r="H80" s="99"/>
      <c r="I80" s="99"/>
      <c r="O80" s="99"/>
      <c r="P80" s="99"/>
      <c r="Q80" s="99"/>
      <c r="R80" s="99"/>
      <c r="W80" s="99"/>
      <c r="X80" s="99"/>
      <c r="Y80" s="99"/>
      <c r="Z80" s="99"/>
      <c r="AA80" s="99"/>
      <c r="AF80" s="99"/>
      <c r="AG80" s="99"/>
      <c r="AH80" s="99"/>
      <c r="AI80" s="99"/>
      <c r="AJ80" s="99"/>
    </row>
    <row r="81" spans="1:36">
      <c r="A81" s="34" t="s">
        <v>2363</v>
      </c>
      <c r="B81" s="34" t="s">
        <v>2380</v>
      </c>
      <c r="F81" s="119" t="s">
        <v>2315</v>
      </c>
      <c r="G81" s="99"/>
      <c r="H81" s="99"/>
      <c r="I81" s="99"/>
      <c r="O81" s="99"/>
      <c r="P81" s="99"/>
      <c r="Q81" s="99"/>
      <c r="R81" s="99"/>
      <c r="W81" s="99"/>
      <c r="X81" s="99"/>
      <c r="Y81" s="99"/>
      <c r="Z81" s="99"/>
      <c r="AA81" s="99"/>
      <c r="AF81" s="99"/>
      <c r="AG81" s="99"/>
      <c r="AH81" s="99"/>
      <c r="AI81" s="99"/>
      <c r="AJ81" s="99"/>
    </row>
    <row r="82" spans="1:36">
      <c r="A82" s="34" t="s">
        <v>2364</v>
      </c>
      <c r="B82" t="s">
        <v>2381</v>
      </c>
      <c r="F82" s="119" t="s">
        <v>2315</v>
      </c>
      <c r="G82" s="99"/>
      <c r="H82" s="99"/>
      <c r="I82" s="99"/>
      <c r="O82" s="99"/>
      <c r="P82" s="99"/>
      <c r="Q82" s="99"/>
      <c r="R82" s="99"/>
      <c r="W82" s="99"/>
      <c r="X82" s="99"/>
      <c r="Y82" s="99"/>
      <c r="Z82" s="99"/>
      <c r="AA82" s="99"/>
      <c r="AF82" s="99"/>
      <c r="AG82" s="99"/>
      <c r="AH82" s="99"/>
      <c r="AI82" s="99"/>
      <c r="AJ82" s="99"/>
    </row>
    <row r="83" spans="1:36">
      <c r="A83" s="34" t="s">
        <v>2382</v>
      </c>
      <c r="B83" s="34" t="s">
        <v>2221</v>
      </c>
      <c r="F83" s="99"/>
      <c r="G83" s="99"/>
      <c r="H83" s="99"/>
      <c r="I83" s="119" t="s">
        <v>2315</v>
      </c>
      <c r="O83" s="99"/>
      <c r="P83" s="99"/>
      <c r="Q83" s="99"/>
      <c r="R83" s="99"/>
      <c r="W83" s="99"/>
      <c r="X83" s="99"/>
      <c r="Y83" s="99"/>
      <c r="Z83" s="99"/>
      <c r="AA83" s="99"/>
      <c r="AF83" s="99"/>
      <c r="AG83" s="99"/>
      <c r="AH83" s="99"/>
      <c r="AI83" s="99"/>
      <c r="AJ83" s="99"/>
    </row>
    <row r="84" spans="1:36">
      <c r="A84" s="34" t="s">
        <v>2383</v>
      </c>
      <c r="B84" s="34" t="s">
        <v>2221</v>
      </c>
      <c r="F84" s="99"/>
      <c r="G84" s="99"/>
      <c r="H84" s="99"/>
      <c r="I84" s="119"/>
      <c r="J84" s="328" t="s">
        <v>2315</v>
      </c>
      <c r="O84" s="99"/>
      <c r="P84" s="99"/>
      <c r="Q84" s="99"/>
      <c r="R84" s="99"/>
      <c r="W84" s="99"/>
      <c r="X84" s="99"/>
      <c r="Y84" s="99"/>
      <c r="Z84" s="99"/>
      <c r="AA84" s="99"/>
      <c r="AF84" s="99"/>
      <c r="AG84" s="99"/>
      <c r="AH84" s="99"/>
      <c r="AI84" s="99"/>
      <c r="AJ84" s="99"/>
    </row>
    <row r="85" spans="1:36">
      <c r="A85" s="34" t="s">
        <v>2367</v>
      </c>
      <c r="B85" s="34" t="s">
        <v>2384</v>
      </c>
      <c r="F85" s="99"/>
      <c r="G85" s="99"/>
      <c r="H85" s="99"/>
      <c r="I85" s="99"/>
      <c r="J85" s="328" t="s">
        <v>2315</v>
      </c>
      <c r="K85" s="328"/>
      <c r="L85" s="328"/>
      <c r="O85" s="99"/>
      <c r="P85" s="99"/>
      <c r="Q85" s="99"/>
      <c r="R85" s="99"/>
      <c r="W85" s="99"/>
      <c r="X85" s="99"/>
      <c r="Y85" s="99"/>
      <c r="Z85" s="99"/>
      <c r="AA85" s="99"/>
      <c r="AF85" s="99"/>
      <c r="AG85" s="99"/>
      <c r="AH85" s="99"/>
      <c r="AI85" s="99"/>
      <c r="AJ85" s="99"/>
    </row>
    <row r="86" spans="1:36">
      <c r="A86" s="34" t="s">
        <v>2368</v>
      </c>
      <c r="F86" s="99"/>
      <c r="G86" s="99"/>
      <c r="H86" s="99"/>
      <c r="I86" s="99"/>
      <c r="J86" s="328"/>
      <c r="K86" s="328" t="s">
        <v>2315</v>
      </c>
      <c r="L86" s="328"/>
      <c r="O86" s="99"/>
      <c r="P86" s="99"/>
      <c r="Q86" s="99"/>
      <c r="R86" s="99"/>
      <c r="W86" s="99"/>
      <c r="X86" s="99"/>
      <c r="Y86" s="99"/>
      <c r="Z86" s="99"/>
      <c r="AA86" s="99"/>
      <c r="AF86" s="99"/>
      <c r="AG86" s="99"/>
      <c r="AH86" s="99"/>
      <c r="AI86" s="99"/>
      <c r="AJ86" s="99"/>
    </row>
    <row r="87" spans="1:36">
      <c r="A87" s="34" t="s">
        <v>2369</v>
      </c>
      <c r="B87" s="34"/>
      <c r="C87" s="117"/>
      <c r="F87" s="99"/>
      <c r="G87" s="99"/>
      <c r="H87" s="99"/>
      <c r="I87" s="99"/>
      <c r="J87" s="328"/>
      <c r="K87" s="328"/>
      <c r="L87" s="328" t="s">
        <v>2315</v>
      </c>
      <c r="O87" s="99"/>
      <c r="P87" s="99"/>
      <c r="Q87" s="99"/>
      <c r="R87" s="99"/>
      <c r="W87" s="99"/>
      <c r="X87" s="99"/>
      <c r="Y87" s="99"/>
      <c r="Z87" s="99"/>
      <c r="AA87" s="99"/>
      <c r="AF87" s="99"/>
      <c r="AG87" s="99"/>
      <c r="AH87" s="99"/>
      <c r="AI87" s="99"/>
      <c r="AJ87" s="99"/>
    </row>
    <row r="88" spans="1:36">
      <c r="C88" s="117"/>
      <c r="F88" s="99"/>
      <c r="G88" s="99"/>
      <c r="H88" s="99"/>
      <c r="I88" s="99"/>
      <c r="O88" s="99"/>
      <c r="P88" s="99"/>
      <c r="Q88" s="99"/>
      <c r="R88" s="99"/>
      <c r="W88" s="99"/>
      <c r="X88" s="99"/>
      <c r="Y88" s="99"/>
      <c r="Z88" s="99"/>
      <c r="AA88" s="99"/>
      <c r="AF88" s="99"/>
      <c r="AG88" s="99"/>
      <c r="AH88" s="99"/>
      <c r="AI88" s="99"/>
      <c r="AJ88" s="99"/>
    </row>
    <row r="89" spans="1:36">
      <c r="A89" s="103" t="str">
        <f>S6</f>
        <v>Offshore Europe (2-5 Sept)</v>
      </c>
      <c r="B89" s="103"/>
      <c r="C89" s="117"/>
      <c r="F89" s="99"/>
      <c r="G89" s="99"/>
      <c r="H89" s="99"/>
      <c r="I89" s="99"/>
      <c r="O89" s="119" t="s">
        <v>2315</v>
      </c>
      <c r="P89" s="99"/>
      <c r="Q89" s="99"/>
      <c r="R89" s="99"/>
      <c r="W89" s="99"/>
      <c r="X89" s="99"/>
      <c r="Y89" s="99"/>
      <c r="Z89" s="99"/>
      <c r="AA89" s="99"/>
      <c r="AF89" s="99"/>
      <c r="AG89" s="99"/>
      <c r="AH89" s="99"/>
      <c r="AI89" s="99"/>
      <c r="AJ89" s="99"/>
    </row>
    <row r="90" spans="1:36">
      <c r="A90" s="34" t="s">
        <v>2364</v>
      </c>
      <c r="B90" s="34"/>
      <c r="C90" s="117"/>
      <c r="F90" s="99"/>
      <c r="G90" s="99"/>
      <c r="H90" s="99"/>
      <c r="I90" s="99"/>
      <c r="O90" s="99"/>
      <c r="P90" s="99"/>
      <c r="Q90" s="119" t="s">
        <v>2315</v>
      </c>
      <c r="R90" s="119"/>
      <c r="W90" s="99"/>
      <c r="X90" s="99"/>
      <c r="Y90" s="99"/>
      <c r="Z90" s="99"/>
      <c r="AA90" s="99"/>
      <c r="AF90" s="99"/>
      <c r="AG90" s="99"/>
      <c r="AH90" s="99"/>
      <c r="AI90" s="99"/>
      <c r="AJ90" s="99"/>
    </row>
    <row r="91" spans="1:36">
      <c r="A91" s="34" t="s">
        <v>2382</v>
      </c>
      <c r="B91" s="34"/>
      <c r="F91" s="99"/>
      <c r="G91" s="99"/>
      <c r="H91" s="99"/>
      <c r="I91" s="99"/>
      <c r="O91" s="99"/>
      <c r="P91" s="99"/>
      <c r="Q91" s="119"/>
      <c r="R91" s="119" t="s">
        <v>2315</v>
      </c>
      <c r="W91" s="99"/>
      <c r="X91" s="99"/>
      <c r="Y91" s="99"/>
      <c r="Z91" s="99"/>
      <c r="AA91" s="99"/>
      <c r="AF91" s="99"/>
      <c r="AG91" s="99"/>
      <c r="AH91" s="99"/>
      <c r="AI91" s="99"/>
      <c r="AJ91" s="99"/>
    </row>
    <row r="92" spans="1:36">
      <c r="A92" s="34" t="s">
        <v>2383</v>
      </c>
      <c r="B92" s="34"/>
      <c r="F92" s="99"/>
      <c r="G92" s="99"/>
      <c r="H92" s="99"/>
      <c r="I92" s="99"/>
      <c r="O92" s="99"/>
      <c r="P92" s="99"/>
      <c r="Q92" s="99"/>
      <c r="R92" s="119" t="s">
        <v>2315</v>
      </c>
      <c r="S92" s="328"/>
      <c r="T92" s="328"/>
      <c r="W92" s="99"/>
      <c r="X92" s="99"/>
      <c r="Y92" s="99"/>
      <c r="Z92" s="99"/>
      <c r="AA92" s="99"/>
      <c r="AF92" s="99"/>
      <c r="AG92" s="99"/>
      <c r="AH92" s="99"/>
      <c r="AI92" s="99"/>
      <c r="AJ92" s="99"/>
    </row>
    <row r="93" spans="1:36">
      <c r="A93" s="34" t="s">
        <v>2367</v>
      </c>
      <c r="B93" s="34"/>
      <c r="F93" s="99"/>
      <c r="G93" s="99"/>
      <c r="H93" s="99"/>
      <c r="I93" s="99"/>
      <c r="O93" s="99"/>
      <c r="P93" s="99"/>
      <c r="Q93" s="99"/>
      <c r="R93" s="119"/>
      <c r="S93" s="328" t="s">
        <v>2315</v>
      </c>
      <c r="T93" s="328"/>
      <c r="W93" s="99"/>
      <c r="X93" s="99"/>
      <c r="Y93" s="99"/>
      <c r="Z93" s="99"/>
      <c r="AA93" s="99"/>
      <c r="AF93" s="99"/>
      <c r="AG93" s="99"/>
      <c r="AH93" s="99"/>
      <c r="AI93" s="99"/>
      <c r="AJ93" s="99"/>
    </row>
    <row r="94" spans="1:36">
      <c r="A94" s="34" t="s">
        <v>2368</v>
      </c>
      <c r="B94" s="34"/>
      <c r="F94" s="99"/>
      <c r="G94" s="99"/>
      <c r="H94" s="99"/>
      <c r="I94" s="99"/>
      <c r="O94" s="99"/>
      <c r="P94" s="99"/>
      <c r="Q94" s="99"/>
      <c r="R94" s="119"/>
      <c r="S94" s="328"/>
      <c r="T94" s="328" t="s">
        <v>2315</v>
      </c>
      <c r="W94" s="99"/>
      <c r="X94" s="99"/>
      <c r="Y94" s="99"/>
      <c r="Z94" s="99"/>
      <c r="AA94" s="99"/>
      <c r="AF94" s="99"/>
      <c r="AG94" s="99"/>
      <c r="AH94" s="99"/>
      <c r="AI94" s="99"/>
      <c r="AJ94" s="99"/>
    </row>
    <row r="95" spans="1:36">
      <c r="A95" s="34" t="s">
        <v>2369</v>
      </c>
      <c r="B95" s="34"/>
      <c r="F95" s="99"/>
      <c r="G95" s="99"/>
      <c r="H95" s="99"/>
      <c r="I95" s="99"/>
      <c r="O95" s="99"/>
      <c r="P95" s="99"/>
      <c r="Q95" s="99"/>
      <c r="R95" s="99"/>
      <c r="W95" s="99"/>
      <c r="X95" s="99"/>
      <c r="Y95" s="99"/>
      <c r="Z95" s="99"/>
      <c r="AA95" s="99"/>
      <c r="AF95" s="99"/>
      <c r="AG95" s="99"/>
      <c r="AH95" s="99"/>
      <c r="AI95" s="99"/>
      <c r="AJ95" s="99"/>
    </row>
    <row r="96" spans="1:36">
      <c r="F96" s="99"/>
      <c r="G96" s="99"/>
      <c r="H96" s="99"/>
      <c r="I96" s="99"/>
      <c r="O96" s="99"/>
      <c r="P96" s="99"/>
      <c r="Q96" s="99"/>
      <c r="R96" s="99"/>
      <c r="W96" s="99"/>
      <c r="X96" s="99"/>
      <c r="Y96" s="99"/>
      <c r="Z96" s="99"/>
      <c r="AA96" s="99"/>
      <c r="AF96" s="99"/>
      <c r="AG96" s="99"/>
      <c r="AH96" s="99"/>
      <c r="AI96" s="99"/>
      <c r="AJ96" s="99"/>
    </row>
    <row r="97" spans="1:36">
      <c r="A97" s="103" t="str">
        <f>AB6</f>
        <v>ADIPEC (3-6 nov)</v>
      </c>
      <c r="B97" s="103"/>
      <c r="F97" s="99"/>
      <c r="G97" s="99"/>
      <c r="H97" s="99"/>
      <c r="I97" s="99"/>
      <c r="O97" s="99"/>
      <c r="P97" s="99"/>
      <c r="Q97" s="99"/>
      <c r="R97" s="99"/>
      <c r="W97" s="99"/>
      <c r="X97" s="99"/>
      <c r="Y97" s="99"/>
      <c r="Z97" s="99"/>
      <c r="AA97" s="99"/>
      <c r="AF97" s="99"/>
      <c r="AG97" s="99"/>
      <c r="AH97" s="99"/>
      <c r="AI97" s="99"/>
      <c r="AJ97" s="99"/>
    </row>
    <row r="98" spans="1:36">
      <c r="A98" s="34" t="s">
        <v>2363</v>
      </c>
      <c r="B98" s="34"/>
      <c r="F98" s="99"/>
      <c r="G98" s="99"/>
      <c r="H98" s="99"/>
      <c r="I98" s="131" t="s">
        <v>2315</v>
      </c>
      <c r="O98" s="99"/>
      <c r="P98" s="99"/>
      <c r="Q98" s="99"/>
      <c r="R98" s="99"/>
      <c r="W98" s="99"/>
      <c r="X98" s="99"/>
      <c r="Y98" s="99"/>
      <c r="Z98" s="99"/>
      <c r="AA98" s="99"/>
      <c r="AF98" s="99"/>
      <c r="AG98" s="99"/>
      <c r="AH98" s="99"/>
      <c r="AI98" s="99"/>
      <c r="AJ98" s="99"/>
    </row>
    <row r="99" spans="1:36">
      <c r="A99" s="34" t="s">
        <v>2364</v>
      </c>
      <c r="B99" s="34"/>
      <c r="F99" s="99"/>
      <c r="G99" s="99"/>
      <c r="H99" s="99"/>
      <c r="I99" s="99"/>
      <c r="O99" s="99"/>
      <c r="P99" s="99"/>
      <c r="Q99" s="99"/>
      <c r="R99" s="99"/>
      <c r="W99" s="99"/>
      <c r="X99" s="99"/>
      <c r="Y99" s="99"/>
      <c r="Z99" s="99"/>
      <c r="AA99" s="99"/>
      <c r="AF99" s="99"/>
      <c r="AG99" s="99"/>
      <c r="AH99" s="99"/>
      <c r="AI99" s="99"/>
      <c r="AJ99" s="99"/>
    </row>
    <row r="100" spans="1:36">
      <c r="A100" s="34" t="s">
        <v>2382</v>
      </c>
      <c r="B100" s="34"/>
      <c r="F100" s="99"/>
      <c r="G100" s="99"/>
      <c r="H100" s="99"/>
      <c r="I100" s="99"/>
      <c r="O100" s="99"/>
      <c r="P100" s="99"/>
      <c r="Q100" s="99"/>
      <c r="R100" s="99"/>
      <c r="W100" s="99"/>
      <c r="X100" s="99"/>
      <c r="Y100" s="99"/>
      <c r="Z100" s="99"/>
      <c r="AA100" s="99"/>
      <c r="AF100" s="99"/>
      <c r="AG100" s="99"/>
      <c r="AH100" s="99"/>
      <c r="AI100" s="99"/>
      <c r="AJ100" s="99"/>
    </row>
    <row r="101" spans="1:36">
      <c r="A101" s="34" t="s">
        <v>2383</v>
      </c>
      <c r="B101" s="34"/>
      <c r="F101" s="99"/>
      <c r="G101" s="99"/>
      <c r="H101" s="99"/>
      <c r="I101" s="99"/>
      <c r="O101" s="99"/>
      <c r="P101" s="99"/>
      <c r="Q101" s="99"/>
      <c r="R101" s="99"/>
      <c r="W101" s="99"/>
      <c r="X101" s="99"/>
      <c r="Y101" s="99"/>
      <c r="Z101" s="99"/>
      <c r="AA101" s="99"/>
      <c r="AF101" s="99"/>
      <c r="AG101" s="99"/>
      <c r="AH101" s="99"/>
      <c r="AI101" s="99"/>
      <c r="AJ101" s="99"/>
    </row>
    <row r="102" spans="1:36">
      <c r="A102" s="34" t="s">
        <v>2367</v>
      </c>
      <c r="B102" s="34"/>
      <c r="F102" s="99"/>
      <c r="G102" s="99"/>
      <c r="H102" s="99"/>
      <c r="I102" s="99"/>
      <c r="O102" s="99"/>
      <c r="P102" s="99"/>
      <c r="Q102" s="99"/>
      <c r="R102" s="99"/>
      <c r="W102" s="99"/>
      <c r="X102" s="99"/>
      <c r="Y102" s="99"/>
      <c r="Z102" s="99"/>
      <c r="AA102" s="99" t="s">
        <v>2315</v>
      </c>
      <c r="AB102" s="20"/>
      <c r="AC102" s="20"/>
      <c r="AF102" s="99"/>
      <c r="AG102" s="99"/>
      <c r="AH102" s="99"/>
      <c r="AI102" s="99"/>
      <c r="AJ102" s="99"/>
    </row>
    <row r="103" spans="1:36">
      <c r="A103" s="34" t="s">
        <v>2368</v>
      </c>
      <c r="B103" s="34"/>
      <c r="F103" s="99"/>
      <c r="G103" s="99"/>
      <c r="H103" s="99"/>
      <c r="I103" s="99"/>
      <c r="O103" s="99"/>
      <c r="P103" s="99"/>
      <c r="Q103" s="99"/>
      <c r="R103" s="99"/>
      <c r="W103" s="99"/>
      <c r="X103" s="99"/>
      <c r="Y103" s="99"/>
      <c r="Z103" s="99"/>
      <c r="AA103" s="99"/>
      <c r="AB103" s="20" t="s">
        <v>2315</v>
      </c>
      <c r="AC103" s="20"/>
      <c r="AF103" s="99"/>
      <c r="AG103" s="99"/>
      <c r="AH103" s="99"/>
      <c r="AI103" s="99"/>
      <c r="AJ103" s="99"/>
    </row>
    <row r="104" spans="1:36">
      <c r="A104" s="34" t="s">
        <v>2369</v>
      </c>
      <c r="B104" s="34"/>
      <c r="F104" s="99"/>
      <c r="G104" s="99"/>
      <c r="H104" s="99"/>
      <c r="I104" s="99"/>
      <c r="O104" s="99"/>
      <c r="P104" s="99"/>
      <c r="Q104" s="99"/>
      <c r="R104" s="99"/>
      <c r="W104" s="99"/>
      <c r="X104" s="99"/>
      <c r="Y104" s="99"/>
      <c r="Z104" s="99"/>
      <c r="AA104" s="99"/>
      <c r="AB104" s="20"/>
      <c r="AC104" s="20" t="s">
        <v>2315</v>
      </c>
      <c r="AF104" s="99"/>
      <c r="AG104" s="99"/>
      <c r="AH104" s="99"/>
      <c r="AI104" s="99"/>
      <c r="AJ104" s="99"/>
    </row>
    <row r="105" spans="1:36">
      <c r="F105" s="99"/>
      <c r="G105" s="99"/>
      <c r="H105" s="99"/>
      <c r="I105" s="99"/>
      <c r="O105" s="99"/>
      <c r="P105" s="99"/>
      <c r="Q105" s="99"/>
      <c r="R105" s="99"/>
      <c r="W105" s="99"/>
      <c r="X105" s="99"/>
      <c r="Y105" s="99"/>
      <c r="Z105" s="99"/>
      <c r="AA105" s="99"/>
      <c r="AF105" s="99"/>
      <c r="AG105" s="99"/>
      <c r="AH105" s="99"/>
      <c r="AI105" s="99"/>
      <c r="AJ105" s="99"/>
    </row>
    <row r="106" spans="1:36">
      <c r="F106" s="99"/>
      <c r="G106" s="99"/>
      <c r="H106" s="99"/>
      <c r="I106" s="99"/>
      <c r="O106" s="99"/>
      <c r="P106" s="99"/>
      <c r="Q106" s="99"/>
      <c r="R106" s="99"/>
      <c r="W106" s="99"/>
      <c r="X106" s="99"/>
      <c r="Y106" s="99"/>
      <c r="Z106" s="99"/>
      <c r="AA106" s="99"/>
      <c r="AF106" s="99"/>
      <c r="AG106" s="99"/>
      <c r="AH106" s="99"/>
      <c r="AI106" s="99"/>
      <c r="AJ106" s="99"/>
    </row>
    <row r="107" spans="1:36">
      <c r="F107" s="99"/>
      <c r="G107" s="99"/>
      <c r="H107" s="99"/>
      <c r="I107" s="99"/>
      <c r="O107" s="99"/>
      <c r="P107" s="99"/>
      <c r="Q107" s="99"/>
      <c r="R107" s="99"/>
      <c r="W107" s="99"/>
      <c r="X107" s="99"/>
      <c r="Y107" s="99"/>
      <c r="Z107" s="99"/>
      <c r="AA107" s="99"/>
      <c r="AF107" s="99"/>
      <c r="AG107" s="99"/>
      <c r="AH107" s="99"/>
      <c r="AI107" s="99"/>
      <c r="AJ107" s="99"/>
    </row>
    <row r="108" spans="1:36">
      <c r="F108" s="99"/>
      <c r="G108" s="99"/>
      <c r="H108" s="99"/>
      <c r="I108" s="99"/>
      <c r="O108" s="99"/>
      <c r="P108" s="99"/>
      <c r="Q108" s="99"/>
      <c r="R108" s="99"/>
      <c r="W108" s="99"/>
      <c r="X108" s="99"/>
      <c r="Y108" s="99"/>
      <c r="Z108" s="99"/>
      <c r="AA108" s="99"/>
      <c r="AF108" s="99"/>
      <c r="AG108" s="99"/>
      <c r="AH108" s="99"/>
      <c r="AI108" s="99"/>
      <c r="AJ108" s="99"/>
    </row>
    <row r="109" spans="1:36">
      <c r="F109" s="99"/>
      <c r="G109" s="99"/>
      <c r="H109" s="99"/>
      <c r="I109" s="99"/>
      <c r="O109" s="99"/>
      <c r="P109" s="99"/>
      <c r="Q109" s="99"/>
      <c r="R109" s="99"/>
      <c r="W109" s="99"/>
      <c r="X109" s="99"/>
      <c r="Y109" s="99"/>
      <c r="Z109" s="99"/>
      <c r="AA109" s="99"/>
      <c r="AF109" s="99"/>
      <c r="AG109" s="99"/>
      <c r="AH109" s="99"/>
      <c r="AI109" s="99"/>
      <c r="AJ109" s="99"/>
    </row>
    <row r="110" spans="1:36">
      <c r="F110" s="99"/>
      <c r="G110" s="99"/>
      <c r="H110" s="99"/>
      <c r="I110" s="99"/>
      <c r="O110" s="99"/>
      <c r="P110" s="99"/>
      <c r="Q110" s="99"/>
      <c r="R110" s="99"/>
      <c r="W110" s="99"/>
      <c r="X110" s="99"/>
      <c r="Y110" s="99"/>
      <c r="Z110" s="99"/>
      <c r="AA110" s="99"/>
      <c r="AF110" s="99"/>
      <c r="AG110" s="99"/>
      <c r="AH110" s="99"/>
      <c r="AI110" s="99"/>
      <c r="AJ110" s="99"/>
    </row>
    <row r="111" spans="1:36">
      <c r="F111" s="99"/>
      <c r="G111" s="99"/>
      <c r="H111" s="99"/>
      <c r="I111" s="99"/>
      <c r="O111" s="99"/>
      <c r="P111" s="99"/>
      <c r="Q111" s="99"/>
      <c r="R111" s="99"/>
      <c r="W111" s="99"/>
      <c r="X111" s="99"/>
      <c r="Y111" s="99"/>
      <c r="Z111" s="99"/>
      <c r="AA111" s="99"/>
      <c r="AF111" s="99"/>
      <c r="AG111" s="99"/>
      <c r="AH111" s="99"/>
      <c r="AI111" s="99"/>
      <c r="AJ111" s="99"/>
    </row>
    <row r="112" spans="1:36">
      <c r="F112" s="99"/>
      <c r="G112" s="99"/>
      <c r="H112" s="99"/>
      <c r="I112" s="99"/>
      <c r="O112" s="99"/>
      <c r="P112" s="99"/>
      <c r="Q112" s="99"/>
      <c r="R112" s="99"/>
      <c r="W112" s="99"/>
      <c r="X112" s="99"/>
      <c r="Y112" s="99"/>
      <c r="Z112" s="99"/>
      <c r="AA112" s="99"/>
      <c r="AF112" s="99"/>
      <c r="AG112" s="99"/>
      <c r="AH112" s="99"/>
      <c r="AI112" s="99"/>
      <c r="AJ112" s="99"/>
    </row>
    <row r="113" spans="6:36">
      <c r="F113" s="99"/>
      <c r="G113" s="99"/>
      <c r="H113" s="99"/>
      <c r="I113" s="99"/>
      <c r="O113" s="99"/>
      <c r="P113" s="99"/>
      <c r="Q113" s="99"/>
      <c r="R113" s="99"/>
      <c r="W113" s="99"/>
      <c r="X113" s="99"/>
      <c r="Y113" s="99"/>
      <c r="Z113" s="99"/>
      <c r="AA113" s="99"/>
      <c r="AF113" s="99"/>
      <c r="AG113" s="99"/>
      <c r="AH113" s="99"/>
      <c r="AI113" s="99"/>
      <c r="AJ113" s="99"/>
    </row>
    <row r="114" spans="6:36">
      <c r="F114" s="99"/>
      <c r="G114" s="99"/>
      <c r="H114" s="99"/>
      <c r="I114" s="99"/>
      <c r="O114" s="99"/>
      <c r="P114" s="99"/>
      <c r="Q114" s="99"/>
      <c r="R114" s="99"/>
      <c r="W114" s="99"/>
      <c r="X114" s="99"/>
      <c r="Y114" s="99"/>
      <c r="Z114" s="99"/>
      <c r="AA114" s="99"/>
      <c r="AF114" s="99"/>
      <c r="AG114" s="99"/>
      <c r="AH114" s="99"/>
      <c r="AI114" s="99"/>
      <c r="AJ114" s="99"/>
    </row>
    <row r="115" spans="6:36">
      <c r="F115" s="99"/>
      <c r="G115" s="99"/>
      <c r="H115" s="99"/>
      <c r="I115" s="99"/>
      <c r="O115" s="99"/>
      <c r="P115" s="99"/>
      <c r="Q115" s="99"/>
      <c r="R115" s="99"/>
      <c r="W115" s="99"/>
      <c r="X115" s="99"/>
      <c r="Y115" s="99"/>
      <c r="Z115" s="99"/>
      <c r="AA115" s="99"/>
      <c r="AF115" s="99"/>
      <c r="AG115" s="99"/>
      <c r="AH115" s="99"/>
      <c r="AI115" s="99"/>
      <c r="AJ115" s="99"/>
    </row>
    <row r="116" spans="6:36">
      <c r="F116" s="99"/>
      <c r="G116" s="99"/>
      <c r="H116" s="99"/>
      <c r="I116" s="99"/>
      <c r="O116" s="99"/>
      <c r="P116" s="99"/>
      <c r="Q116" s="99"/>
      <c r="R116" s="99"/>
      <c r="W116" s="99"/>
      <c r="X116" s="99"/>
      <c r="Y116" s="99"/>
      <c r="Z116" s="99"/>
      <c r="AA116" s="99"/>
      <c r="AF116" s="99"/>
      <c r="AG116" s="99"/>
      <c r="AH116" s="99"/>
      <c r="AI116" s="99"/>
      <c r="AJ116" s="99"/>
    </row>
    <row r="117" spans="6:36">
      <c r="F117" s="99"/>
      <c r="G117" s="99"/>
      <c r="H117" s="99"/>
      <c r="I117" s="99"/>
      <c r="O117" s="99"/>
      <c r="P117" s="99"/>
      <c r="Q117" s="99"/>
      <c r="R117" s="99"/>
      <c r="W117" s="99"/>
      <c r="X117" s="99"/>
      <c r="Y117" s="99"/>
      <c r="Z117" s="99"/>
      <c r="AA117" s="99"/>
      <c r="AF117" s="99"/>
      <c r="AG117" s="99"/>
      <c r="AH117" s="99"/>
      <c r="AI117" s="99"/>
      <c r="AJ117" s="99"/>
    </row>
    <row r="118" spans="6:36">
      <c r="F118" s="99"/>
      <c r="G118" s="99"/>
      <c r="H118" s="99"/>
      <c r="I118" s="99"/>
      <c r="O118" s="99"/>
      <c r="P118" s="99"/>
      <c r="Q118" s="99"/>
      <c r="R118" s="99"/>
      <c r="W118" s="99"/>
      <c r="X118" s="99"/>
      <c r="Y118" s="99"/>
      <c r="Z118" s="99"/>
      <c r="AA118" s="99"/>
      <c r="AF118" s="99"/>
      <c r="AG118" s="99"/>
      <c r="AH118" s="99"/>
      <c r="AI118" s="99"/>
      <c r="AJ118" s="99"/>
    </row>
    <row r="119" spans="6:36">
      <c r="F119" s="99"/>
      <c r="G119" s="99"/>
      <c r="H119" s="99"/>
      <c r="I119" s="99"/>
      <c r="O119" s="99"/>
      <c r="P119" s="99"/>
      <c r="Q119" s="99"/>
      <c r="R119" s="99"/>
      <c r="W119" s="99"/>
      <c r="X119" s="99"/>
      <c r="Y119" s="99"/>
      <c r="Z119" s="99"/>
      <c r="AA119" s="99"/>
      <c r="AF119" s="99"/>
      <c r="AG119" s="99"/>
      <c r="AH119" s="99"/>
      <c r="AI119" s="99"/>
      <c r="AJ119" s="99"/>
    </row>
    <row r="120" spans="6:36">
      <c r="F120" s="99"/>
      <c r="G120" s="99"/>
      <c r="H120" s="99"/>
      <c r="I120" s="99"/>
      <c r="O120" s="99"/>
      <c r="P120" s="99"/>
      <c r="Q120" s="99"/>
      <c r="R120" s="99"/>
      <c r="W120" s="99"/>
      <c r="X120" s="99"/>
      <c r="Y120" s="99"/>
      <c r="Z120" s="99"/>
      <c r="AA120" s="99"/>
      <c r="AF120" s="99"/>
      <c r="AG120" s="99"/>
      <c r="AH120" s="99"/>
      <c r="AI120" s="99"/>
      <c r="AJ120" s="99"/>
    </row>
    <row r="121" spans="6:36">
      <c r="F121" s="99"/>
      <c r="G121" s="99"/>
      <c r="H121" s="99"/>
      <c r="I121" s="99"/>
      <c r="O121" s="99"/>
      <c r="P121" s="99"/>
      <c r="Q121" s="99"/>
      <c r="R121" s="99"/>
      <c r="W121" s="99"/>
      <c r="X121" s="99"/>
      <c r="Y121" s="99"/>
      <c r="Z121" s="99"/>
      <c r="AA121" s="99"/>
      <c r="AF121" s="99"/>
      <c r="AG121" s="99"/>
      <c r="AH121" s="99"/>
      <c r="AI121" s="99"/>
      <c r="AJ121" s="99"/>
    </row>
    <row r="122" spans="6:36">
      <c r="F122" s="99"/>
      <c r="G122" s="99"/>
      <c r="H122" s="99"/>
      <c r="I122" s="99"/>
      <c r="O122" s="99"/>
      <c r="P122" s="99"/>
      <c r="Q122" s="99"/>
      <c r="R122" s="99"/>
      <c r="W122" s="99"/>
      <c r="X122" s="99"/>
      <c r="Y122" s="99"/>
      <c r="Z122" s="99"/>
      <c r="AA122" s="99"/>
      <c r="AF122" s="99"/>
      <c r="AG122" s="99"/>
      <c r="AH122" s="99"/>
      <c r="AI122" s="99"/>
      <c r="AJ122" s="99"/>
    </row>
    <row r="123" spans="6:36">
      <c r="F123" s="99"/>
      <c r="G123" s="99"/>
      <c r="H123" s="99"/>
      <c r="I123" s="99"/>
      <c r="O123" s="99"/>
      <c r="P123" s="99"/>
      <c r="Q123" s="99"/>
      <c r="R123" s="99"/>
      <c r="W123" s="99"/>
      <c r="X123" s="99"/>
      <c r="Y123" s="99"/>
      <c r="Z123" s="99"/>
      <c r="AA123" s="99"/>
      <c r="AF123" s="99"/>
      <c r="AG123" s="99"/>
      <c r="AH123" s="99"/>
      <c r="AI123" s="99"/>
      <c r="AJ123" s="99"/>
    </row>
    <row r="124" spans="6:36">
      <c r="F124" s="99"/>
      <c r="G124" s="99"/>
      <c r="H124" s="99"/>
      <c r="I124" s="99"/>
      <c r="O124" s="99"/>
      <c r="P124" s="99"/>
      <c r="Q124" s="99"/>
      <c r="R124" s="99"/>
      <c r="W124" s="99"/>
      <c r="X124" s="99"/>
      <c r="Y124" s="99"/>
      <c r="Z124" s="99"/>
      <c r="AA124" s="99"/>
      <c r="AF124" s="99"/>
      <c r="AG124" s="99"/>
      <c r="AH124" s="99"/>
      <c r="AI124" s="99"/>
      <c r="AJ124" s="99"/>
    </row>
    <row r="125" spans="6:36">
      <c r="F125" s="99"/>
      <c r="G125" s="99"/>
      <c r="H125" s="99"/>
      <c r="I125" s="99"/>
      <c r="O125" s="99"/>
      <c r="P125" s="99"/>
      <c r="Q125" s="99"/>
      <c r="R125" s="99"/>
      <c r="W125" s="99"/>
      <c r="X125" s="99"/>
      <c r="Y125" s="99"/>
      <c r="Z125" s="99"/>
      <c r="AA125" s="99"/>
      <c r="AF125" s="99"/>
      <c r="AG125" s="99"/>
      <c r="AH125" s="99"/>
      <c r="AI125" s="99"/>
      <c r="AJ125" s="99"/>
    </row>
    <row r="126" spans="6:36">
      <c r="F126" s="99"/>
      <c r="G126" s="99"/>
      <c r="H126" s="99"/>
      <c r="I126" s="99"/>
      <c r="O126" s="99"/>
      <c r="P126" s="99"/>
      <c r="Q126" s="99"/>
      <c r="R126" s="99"/>
      <c r="W126" s="99"/>
      <c r="X126" s="99"/>
      <c r="Y126" s="99"/>
      <c r="Z126" s="99"/>
      <c r="AA126" s="99"/>
      <c r="AF126" s="99"/>
      <c r="AG126" s="99"/>
      <c r="AH126" s="99"/>
      <c r="AI126" s="99"/>
      <c r="AJ126" s="99"/>
    </row>
    <row r="127" spans="6:36">
      <c r="F127" s="99"/>
      <c r="G127" s="99"/>
      <c r="H127" s="99"/>
      <c r="I127" s="99"/>
      <c r="O127" s="99"/>
      <c r="P127" s="99"/>
      <c r="Q127" s="99"/>
      <c r="R127" s="99"/>
      <c r="W127" s="99"/>
      <c r="X127" s="99"/>
      <c r="Y127" s="99"/>
      <c r="Z127" s="99"/>
      <c r="AA127" s="99"/>
      <c r="AF127" s="99"/>
      <c r="AG127" s="99"/>
      <c r="AH127" s="99"/>
      <c r="AI127" s="99"/>
      <c r="AJ127" s="99"/>
    </row>
    <row r="128" spans="6:36">
      <c r="F128" s="99"/>
      <c r="G128" s="99"/>
      <c r="H128" s="99"/>
      <c r="I128" s="99"/>
      <c r="O128" s="99"/>
      <c r="P128" s="99"/>
      <c r="Q128" s="99"/>
      <c r="R128" s="99"/>
      <c r="W128" s="99"/>
      <c r="X128" s="99"/>
      <c r="Y128" s="99"/>
      <c r="Z128" s="99"/>
      <c r="AA128" s="99"/>
      <c r="AF128" s="99"/>
      <c r="AG128" s="99"/>
      <c r="AH128" s="99"/>
      <c r="AI128" s="99"/>
      <c r="AJ128" s="99"/>
    </row>
    <row r="129" spans="6:36">
      <c r="F129" s="99"/>
      <c r="G129" s="99"/>
      <c r="H129" s="99"/>
      <c r="I129" s="99"/>
      <c r="O129" s="99"/>
      <c r="P129" s="99"/>
      <c r="Q129" s="99"/>
      <c r="R129" s="99"/>
      <c r="W129" s="99"/>
      <c r="X129" s="99"/>
      <c r="Y129" s="99"/>
      <c r="Z129" s="99"/>
      <c r="AA129" s="99"/>
      <c r="AF129" s="99"/>
      <c r="AG129" s="99"/>
      <c r="AH129" s="99"/>
      <c r="AI129" s="99"/>
      <c r="AJ129" s="99"/>
    </row>
    <row r="130" spans="6:36">
      <c r="F130" s="99"/>
      <c r="G130" s="99"/>
      <c r="H130" s="99"/>
      <c r="I130" s="99"/>
      <c r="O130" s="99"/>
      <c r="P130" s="99"/>
      <c r="Q130" s="99"/>
      <c r="R130" s="99"/>
      <c r="W130" s="99"/>
      <c r="X130" s="99"/>
      <c r="Y130" s="99"/>
      <c r="Z130" s="99"/>
      <c r="AA130" s="99"/>
      <c r="AF130" s="99"/>
      <c r="AG130" s="99"/>
      <c r="AH130" s="99"/>
      <c r="AI130" s="99"/>
      <c r="AJ130" s="99"/>
    </row>
    <row r="131" spans="6:36">
      <c r="F131" s="99"/>
      <c r="G131" s="99"/>
      <c r="H131" s="99"/>
      <c r="I131" s="99"/>
      <c r="O131" s="99"/>
      <c r="P131" s="99"/>
      <c r="Q131" s="99"/>
      <c r="R131" s="99"/>
      <c r="W131" s="99"/>
      <c r="X131" s="99"/>
      <c r="Y131" s="99"/>
      <c r="Z131" s="99"/>
      <c r="AA131" s="99"/>
      <c r="AF131" s="99"/>
      <c r="AG131" s="99"/>
      <c r="AH131" s="99"/>
      <c r="AI131" s="99"/>
      <c r="AJ131" s="99"/>
    </row>
    <row r="132" spans="6:36">
      <c r="F132" s="99"/>
      <c r="G132" s="99"/>
      <c r="H132" s="99"/>
      <c r="I132" s="99"/>
      <c r="O132" s="99"/>
      <c r="P132" s="99"/>
      <c r="Q132" s="99"/>
      <c r="R132" s="99"/>
      <c r="W132" s="99"/>
      <c r="X132" s="99"/>
      <c r="Y132" s="99"/>
      <c r="Z132" s="99"/>
      <c r="AA132" s="99"/>
      <c r="AF132" s="99"/>
      <c r="AG132" s="99"/>
      <c r="AH132" s="99"/>
      <c r="AI132" s="99"/>
      <c r="AJ132" s="99"/>
    </row>
    <row r="133" spans="6:36">
      <c r="F133" s="99"/>
      <c r="G133" s="99"/>
      <c r="H133" s="99"/>
      <c r="I133" s="99"/>
      <c r="O133" s="99"/>
      <c r="P133" s="99"/>
      <c r="Q133" s="99"/>
      <c r="R133" s="99"/>
      <c r="W133" s="99"/>
      <c r="X133" s="99"/>
      <c r="Y133" s="99"/>
      <c r="Z133" s="99"/>
      <c r="AA133" s="99"/>
      <c r="AF133" s="99"/>
      <c r="AG133" s="99"/>
      <c r="AH133" s="99"/>
      <c r="AI133" s="99"/>
      <c r="AJ133" s="99"/>
    </row>
    <row r="134" spans="6:36">
      <c r="F134" s="99"/>
      <c r="G134" s="99"/>
      <c r="H134" s="99"/>
      <c r="I134" s="99"/>
      <c r="O134" s="99"/>
      <c r="P134" s="99"/>
      <c r="Q134" s="99"/>
      <c r="R134" s="99"/>
      <c r="W134" s="99"/>
      <c r="X134" s="99"/>
      <c r="Y134" s="99"/>
      <c r="Z134" s="99"/>
      <c r="AA134" s="99"/>
      <c r="AF134" s="99"/>
      <c r="AG134" s="99"/>
      <c r="AH134" s="99"/>
      <c r="AI134" s="99"/>
      <c r="AJ134" s="99"/>
    </row>
    <row r="135" spans="6:36">
      <c r="F135" s="99"/>
      <c r="G135" s="99"/>
      <c r="H135" s="99"/>
      <c r="I135" s="99"/>
      <c r="O135" s="99"/>
      <c r="P135" s="99"/>
      <c r="Q135" s="99"/>
      <c r="R135" s="99"/>
      <c r="W135" s="99"/>
      <c r="X135" s="99"/>
      <c r="Y135" s="99"/>
      <c r="Z135" s="99"/>
      <c r="AA135" s="99"/>
      <c r="AF135" s="99"/>
      <c r="AG135" s="99"/>
      <c r="AH135" s="99"/>
      <c r="AI135" s="99"/>
      <c r="AJ135" s="99"/>
    </row>
    <row r="136" spans="6:36">
      <c r="F136" s="99"/>
      <c r="G136" s="99"/>
      <c r="H136" s="99"/>
      <c r="I136" s="99"/>
      <c r="O136" s="99"/>
      <c r="P136" s="99"/>
      <c r="Q136" s="99"/>
      <c r="R136" s="99"/>
      <c r="W136" s="99"/>
      <c r="X136" s="99"/>
      <c r="Y136" s="99"/>
      <c r="Z136" s="99"/>
      <c r="AA136" s="99"/>
      <c r="AF136" s="99"/>
      <c r="AG136" s="99"/>
      <c r="AH136" s="99"/>
      <c r="AI136" s="99"/>
      <c r="AJ136" s="99"/>
    </row>
    <row r="137" spans="6:36">
      <c r="F137" s="99"/>
      <c r="G137" s="99"/>
      <c r="H137" s="99"/>
      <c r="I137" s="99"/>
      <c r="O137" s="99"/>
      <c r="P137" s="99"/>
      <c r="Q137" s="99"/>
      <c r="R137" s="99"/>
      <c r="W137" s="99"/>
      <c r="X137" s="99"/>
      <c r="Y137" s="99"/>
      <c r="Z137" s="99"/>
      <c r="AA137" s="99"/>
      <c r="AF137" s="99"/>
      <c r="AG137" s="99"/>
      <c r="AH137" s="99"/>
      <c r="AI137" s="99"/>
      <c r="AJ137" s="99"/>
    </row>
    <row r="138" spans="6:36">
      <c r="F138" s="99"/>
      <c r="G138" s="99"/>
      <c r="H138" s="99"/>
      <c r="I138" s="99"/>
      <c r="O138" s="99"/>
      <c r="P138" s="99"/>
      <c r="Q138" s="99"/>
      <c r="R138" s="99"/>
      <c r="W138" s="99"/>
      <c r="X138" s="99"/>
      <c r="Y138" s="99"/>
      <c r="Z138" s="99"/>
      <c r="AA138" s="99"/>
      <c r="AF138" s="99"/>
      <c r="AG138" s="99"/>
      <c r="AH138" s="99"/>
      <c r="AI138" s="99"/>
      <c r="AJ138" s="99"/>
    </row>
    <row r="139" spans="6:36">
      <c r="F139" s="99"/>
      <c r="G139" s="99"/>
      <c r="H139" s="99"/>
      <c r="I139" s="99"/>
      <c r="O139" s="99"/>
      <c r="P139" s="99"/>
      <c r="Q139" s="99"/>
      <c r="R139" s="99"/>
      <c r="W139" s="99"/>
      <c r="X139" s="99"/>
      <c r="Y139" s="99"/>
      <c r="Z139" s="99"/>
      <c r="AA139" s="99"/>
      <c r="AF139" s="99"/>
      <c r="AG139" s="99"/>
      <c r="AH139" s="99"/>
      <c r="AI139" s="99"/>
      <c r="AJ139" s="99"/>
    </row>
    <row r="140" spans="6:36">
      <c r="F140" s="99"/>
      <c r="G140" s="99"/>
      <c r="H140" s="99"/>
      <c r="I140" s="99"/>
      <c r="O140" s="99"/>
      <c r="P140" s="99"/>
      <c r="Q140" s="99"/>
      <c r="R140" s="99"/>
      <c r="W140" s="99"/>
      <c r="X140" s="99"/>
      <c r="Y140" s="99"/>
      <c r="Z140" s="99"/>
      <c r="AA140" s="99"/>
      <c r="AF140" s="99"/>
      <c r="AG140" s="99"/>
      <c r="AH140" s="99"/>
      <c r="AI140" s="99"/>
      <c r="AJ140" s="99"/>
    </row>
    <row r="141" spans="6:36">
      <c r="F141" s="99"/>
      <c r="G141" s="99"/>
      <c r="H141" s="99"/>
      <c r="I141" s="99"/>
      <c r="O141" s="99"/>
      <c r="P141" s="99"/>
      <c r="Q141" s="99"/>
      <c r="R141" s="99"/>
      <c r="W141" s="99"/>
      <c r="X141" s="99"/>
      <c r="Y141" s="99"/>
      <c r="Z141" s="99"/>
      <c r="AA141" s="99"/>
      <c r="AF141" s="99"/>
      <c r="AG141" s="99"/>
      <c r="AH141" s="99"/>
      <c r="AI141" s="99"/>
      <c r="AJ141" s="99"/>
    </row>
    <row r="142" spans="6:36">
      <c r="F142" s="99"/>
      <c r="G142" s="99"/>
      <c r="H142" s="99"/>
      <c r="I142" s="99"/>
      <c r="O142" s="99"/>
      <c r="P142" s="99"/>
      <c r="Q142" s="99"/>
      <c r="R142" s="99"/>
      <c r="W142" s="99"/>
      <c r="X142" s="99"/>
      <c r="Y142" s="99"/>
      <c r="Z142" s="99"/>
      <c r="AA142" s="99"/>
      <c r="AF142" s="99"/>
      <c r="AG142" s="99"/>
      <c r="AH142" s="99"/>
      <c r="AI142" s="99"/>
      <c r="AJ142" s="99"/>
    </row>
    <row r="143" spans="6:36">
      <c r="F143" s="99"/>
      <c r="G143" s="99"/>
      <c r="H143" s="99"/>
      <c r="I143" s="99"/>
      <c r="O143" s="99"/>
      <c r="P143" s="99"/>
      <c r="Q143" s="99"/>
      <c r="R143" s="99"/>
      <c r="W143" s="99"/>
      <c r="X143" s="99"/>
      <c r="Y143" s="99"/>
      <c r="Z143" s="99"/>
      <c r="AA143" s="99"/>
      <c r="AF143" s="99"/>
      <c r="AG143" s="99"/>
      <c r="AH143" s="99"/>
      <c r="AI143" s="99"/>
      <c r="AJ143" s="99"/>
    </row>
    <row r="144" spans="6:36">
      <c r="F144" s="99"/>
      <c r="G144" s="99"/>
      <c r="H144" s="99"/>
      <c r="I144" s="99"/>
      <c r="O144" s="99"/>
      <c r="P144" s="99"/>
      <c r="Q144" s="99"/>
      <c r="R144" s="99"/>
      <c r="W144" s="99"/>
      <c r="X144" s="99"/>
      <c r="Y144" s="99"/>
      <c r="Z144" s="99"/>
      <c r="AA144" s="99"/>
      <c r="AF144" s="99"/>
      <c r="AG144" s="99"/>
      <c r="AH144" s="99"/>
      <c r="AI144" s="99"/>
      <c r="AJ144" s="99"/>
    </row>
    <row r="145" spans="6:36">
      <c r="F145" s="99"/>
      <c r="G145" s="99"/>
      <c r="H145" s="99"/>
      <c r="I145" s="99"/>
      <c r="O145" s="99"/>
      <c r="P145" s="99"/>
      <c r="Q145" s="99"/>
      <c r="R145" s="99"/>
      <c r="W145" s="99"/>
      <c r="X145" s="99"/>
      <c r="Y145" s="99"/>
      <c r="Z145" s="99"/>
      <c r="AA145" s="99"/>
      <c r="AF145" s="99"/>
      <c r="AG145" s="99"/>
      <c r="AH145" s="99"/>
      <c r="AI145" s="99"/>
      <c r="AJ145" s="99"/>
    </row>
    <row r="146" spans="6:36">
      <c r="F146" s="99"/>
      <c r="G146" s="99"/>
      <c r="H146" s="99"/>
      <c r="I146" s="99"/>
      <c r="O146" s="99"/>
      <c r="P146" s="99"/>
      <c r="Q146" s="99"/>
      <c r="R146" s="99"/>
      <c r="W146" s="99"/>
      <c r="X146" s="99"/>
      <c r="Y146" s="99"/>
      <c r="Z146" s="99"/>
      <c r="AA146" s="99"/>
      <c r="AF146" s="99"/>
      <c r="AG146" s="99"/>
      <c r="AH146" s="99"/>
      <c r="AI146" s="99"/>
      <c r="AJ146" s="99"/>
    </row>
    <row r="147" spans="6:36">
      <c r="F147" s="99"/>
      <c r="G147" s="99"/>
      <c r="H147" s="99"/>
      <c r="I147" s="99"/>
      <c r="O147" s="99"/>
      <c r="P147" s="99"/>
      <c r="Q147" s="99"/>
      <c r="R147" s="99"/>
      <c r="W147" s="99"/>
      <c r="X147" s="99"/>
      <c r="Y147" s="99"/>
      <c r="Z147" s="99"/>
      <c r="AA147" s="99"/>
      <c r="AF147" s="99"/>
      <c r="AG147" s="99"/>
      <c r="AH147" s="99"/>
      <c r="AI147" s="99"/>
      <c r="AJ147" s="99"/>
    </row>
    <row r="148" spans="6:36">
      <c r="F148" s="99"/>
      <c r="G148" s="99"/>
      <c r="H148" s="99"/>
      <c r="I148" s="99"/>
      <c r="O148" s="99"/>
      <c r="P148" s="99"/>
      <c r="Q148" s="99"/>
      <c r="R148" s="99"/>
      <c r="W148" s="99"/>
      <c r="X148" s="99"/>
      <c r="Y148" s="99"/>
      <c r="Z148" s="99"/>
      <c r="AA148" s="99"/>
      <c r="AF148" s="99"/>
      <c r="AG148" s="99"/>
      <c r="AH148" s="99"/>
      <c r="AI148" s="99"/>
      <c r="AJ148" s="99"/>
    </row>
    <row r="149" spans="6:36">
      <c r="F149" s="99"/>
      <c r="G149" s="99"/>
      <c r="H149" s="99"/>
      <c r="I149" s="99"/>
      <c r="O149" s="99"/>
      <c r="P149" s="99"/>
      <c r="Q149" s="99"/>
      <c r="R149" s="99"/>
      <c r="W149" s="99"/>
      <c r="X149" s="99"/>
      <c r="Y149" s="99"/>
      <c r="Z149" s="99"/>
      <c r="AA149" s="99"/>
      <c r="AF149" s="99"/>
      <c r="AG149" s="99"/>
      <c r="AH149" s="99"/>
      <c r="AI149" s="99"/>
      <c r="AJ149" s="99"/>
    </row>
    <row r="150" spans="6:36">
      <c r="F150" s="99"/>
      <c r="G150" s="99"/>
      <c r="H150" s="99"/>
      <c r="I150" s="99"/>
      <c r="O150" s="99"/>
      <c r="P150" s="99"/>
      <c r="Q150" s="99"/>
      <c r="R150" s="99"/>
      <c r="W150" s="99"/>
      <c r="X150" s="99"/>
      <c r="Y150" s="99"/>
      <c r="Z150" s="99"/>
      <c r="AA150" s="99"/>
      <c r="AF150" s="99"/>
      <c r="AG150" s="99"/>
      <c r="AH150" s="99"/>
      <c r="AI150" s="99"/>
      <c r="AJ150" s="99"/>
    </row>
    <row r="151" spans="6:36">
      <c r="F151" s="99"/>
      <c r="G151" s="99"/>
      <c r="H151" s="99"/>
      <c r="I151" s="99"/>
      <c r="O151" s="99"/>
      <c r="P151" s="99"/>
      <c r="Q151" s="99"/>
      <c r="R151" s="99"/>
      <c r="W151" s="99"/>
      <c r="X151" s="99"/>
      <c r="Y151" s="99"/>
      <c r="Z151" s="99"/>
      <c r="AA151" s="99"/>
      <c r="AF151" s="99"/>
      <c r="AG151" s="99"/>
      <c r="AH151" s="99"/>
      <c r="AI151" s="99"/>
      <c r="AJ151" s="99"/>
    </row>
    <row r="152" spans="6:36">
      <c r="F152" s="99"/>
      <c r="G152" s="99"/>
      <c r="H152" s="99"/>
      <c r="I152" s="99"/>
      <c r="O152" s="99"/>
      <c r="P152" s="99"/>
      <c r="Q152" s="99"/>
      <c r="R152" s="99"/>
      <c r="W152" s="99"/>
      <c r="X152" s="99"/>
      <c r="Y152" s="99"/>
      <c r="Z152" s="99"/>
      <c r="AA152" s="99"/>
      <c r="AF152" s="99"/>
      <c r="AG152" s="99"/>
      <c r="AH152" s="99"/>
      <c r="AI152" s="99"/>
      <c r="AJ152" s="99"/>
    </row>
    <row r="153" spans="6:36">
      <c r="F153" s="99"/>
      <c r="G153" s="99"/>
      <c r="H153" s="99"/>
      <c r="I153" s="99"/>
      <c r="O153" s="99"/>
      <c r="P153" s="99"/>
      <c r="Q153" s="99"/>
      <c r="R153" s="99"/>
      <c r="W153" s="99"/>
      <c r="X153" s="99"/>
      <c r="Y153" s="99"/>
      <c r="Z153" s="99"/>
      <c r="AA153" s="99"/>
      <c r="AF153" s="99"/>
      <c r="AG153" s="99"/>
      <c r="AH153" s="99"/>
      <c r="AI153" s="99"/>
      <c r="AJ153" s="99"/>
    </row>
    <row r="154" spans="6:36">
      <c r="F154" s="99"/>
      <c r="G154" s="99"/>
      <c r="H154" s="99"/>
      <c r="I154" s="99"/>
      <c r="O154" s="99"/>
      <c r="P154" s="99"/>
      <c r="Q154" s="99"/>
      <c r="R154" s="99"/>
      <c r="W154" s="99"/>
      <c r="X154" s="99"/>
      <c r="Y154" s="99"/>
      <c r="Z154" s="99"/>
      <c r="AA154" s="99"/>
      <c r="AF154" s="99"/>
      <c r="AG154" s="99"/>
      <c r="AH154" s="99"/>
      <c r="AI154" s="99"/>
      <c r="AJ154" s="99"/>
    </row>
    <row r="155" spans="6:36">
      <c r="F155" s="99"/>
      <c r="G155" s="99"/>
      <c r="H155" s="99"/>
      <c r="I155" s="99"/>
      <c r="O155" s="99"/>
      <c r="P155" s="99"/>
      <c r="Q155" s="99"/>
      <c r="R155" s="99"/>
      <c r="W155" s="99"/>
      <c r="X155" s="99"/>
      <c r="Y155" s="99"/>
      <c r="Z155" s="99"/>
      <c r="AA155" s="99"/>
      <c r="AF155" s="99"/>
      <c r="AG155" s="99"/>
      <c r="AH155" s="99"/>
      <c r="AI155" s="99"/>
      <c r="AJ155" s="99"/>
    </row>
    <row r="156" spans="6:36">
      <c r="F156" s="99"/>
      <c r="G156" s="99"/>
      <c r="H156" s="99"/>
      <c r="I156" s="99"/>
      <c r="O156" s="99"/>
      <c r="P156" s="99"/>
      <c r="Q156" s="99"/>
      <c r="R156" s="99"/>
      <c r="W156" s="99"/>
      <c r="X156" s="99"/>
      <c r="Y156" s="99"/>
      <c r="Z156" s="99"/>
      <c r="AA156" s="99"/>
      <c r="AF156" s="99"/>
      <c r="AG156" s="99"/>
      <c r="AH156" s="99"/>
      <c r="AI156" s="99"/>
      <c r="AJ156" s="99"/>
    </row>
    <row r="157" spans="6:36">
      <c r="F157" s="99"/>
      <c r="G157" s="99"/>
      <c r="H157" s="99"/>
      <c r="I157" s="99"/>
      <c r="O157" s="99"/>
      <c r="P157" s="99"/>
      <c r="Q157" s="99"/>
      <c r="R157" s="99"/>
      <c r="W157" s="99"/>
      <c r="X157" s="99"/>
      <c r="Y157" s="99"/>
      <c r="Z157" s="99"/>
      <c r="AA157" s="99"/>
      <c r="AF157" s="99"/>
      <c r="AG157" s="99"/>
      <c r="AH157" s="99"/>
      <c r="AI157" s="99"/>
      <c r="AJ157" s="99"/>
    </row>
    <row r="158" spans="6:36">
      <c r="F158" s="99"/>
      <c r="G158" s="99"/>
      <c r="H158" s="99"/>
      <c r="I158" s="99"/>
      <c r="O158" s="99"/>
      <c r="P158" s="99"/>
      <c r="Q158" s="99"/>
      <c r="R158" s="99"/>
      <c r="W158" s="99"/>
      <c r="X158" s="99"/>
      <c r="Y158" s="99"/>
      <c r="Z158" s="99"/>
      <c r="AA158" s="99"/>
      <c r="AF158" s="99"/>
      <c r="AG158" s="99"/>
      <c r="AH158" s="99"/>
      <c r="AI158" s="99"/>
      <c r="AJ158" s="99"/>
    </row>
    <row r="159" spans="6:36">
      <c r="F159" s="99"/>
      <c r="G159" s="99"/>
      <c r="H159" s="99"/>
      <c r="I159" s="99"/>
      <c r="O159" s="99"/>
      <c r="P159" s="99"/>
      <c r="Q159" s="99"/>
      <c r="R159" s="99"/>
      <c r="W159" s="99"/>
      <c r="X159" s="99"/>
      <c r="Y159" s="99"/>
      <c r="Z159" s="99"/>
      <c r="AA159" s="99"/>
      <c r="AF159" s="99"/>
      <c r="AG159" s="99"/>
      <c r="AH159" s="99"/>
      <c r="AI159" s="99"/>
      <c r="AJ159" s="99"/>
    </row>
    <row r="160" spans="6:36">
      <c r="F160" s="99"/>
      <c r="G160" s="99"/>
      <c r="H160" s="99"/>
      <c r="I160" s="99"/>
      <c r="O160" s="99"/>
      <c r="P160" s="99"/>
      <c r="Q160" s="99"/>
      <c r="R160" s="99"/>
      <c r="W160" s="99"/>
      <c r="X160" s="99"/>
      <c r="Y160" s="99"/>
      <c r="Z160" s="99"/>
      <c r="AA160" s="99"/>
      <c r="AF160" s="99"/>
      <c r="AG160" s="99"/>
      <c r="AH160" s="99"/>
      <c r="AI160" s="99"/>
      <c r="AJ160" s="99"/>
    </row>
    <row r="161" spans="6:36">
      <c r="F161" s="99"/>
      <c r="G161" s="99"/>
      <c r="H161" s="99"/>
      <c r="I161" s="99"/>
      <c r="O161" s="99"/>
      <c r="P161" s="99"/>
      <c r="Q161" s="99"/>
      <c r="R161" s="99"/>
      <c r="W161" s="99"/>
      <c r="X161" s="99"/>
      <c r="Y161" s="99"/>
      <c r="Z161" s="99"/>
      <c r="AA161" s="99"/>
      <c r="AF161" s="99"/>
      <c r="AG161" s="99"/>
      <c r="AH161" s="99"/>
      <c r="AI161" s="99"/>
      <c r="AJ161" s="99"/>
    </row>
    <row r="162" spans="6:36">
      <c r="F162" s="99"/>
      <c r="G162" s="99"/>
      <c r="H162" s="99"/>
      <c r="I162" s="99"/>
      <c r="O162" s="99"/>
      <c r="P162" s="99"/>
      <c r="Q162" s="99"/>
      <c r="R162" s="99"/>
      <c r="W162" s="99"/>
      <c r="X162" s="99"/>
      <c r="Y162" s="99"/>
      <c r="Z162" s="99"/>
      <c r="AA162" s="99"/>
      <c r="AF162" s="99"/>
      <c r="AG162" s="99"/>
      <c r="AH162" s="99"/>
      <c r="AI162" s="99"/>
      <c r="AJ162" s="99"/>
    </row>
    <row r="163" spans="6:36">
      <c r="F163" s="99"/>
      <c r="G163" s="99"/>
      <c r="H163" s="99"/>
      <c r="I163" s="99"/>
      <c r="O163" s="99"/>
      <c r="P163" s="99"/>
      <c r="Q163" s="99"/>
      <c r="R163" s="99"/>
      <c r="W163" s="99"/>
      <c r="X163" s="99"/>
      <c r="Y163" s="99"/>
      <c r="Z163" s="99"/>
      <c r="AA163" s="99"/>
      <c r="AF163" s="99"/>
      <c r="AG163" s="99"/>
      <c r="AH163" s="99"/>
      <c r="AI163" s="99"/>
      <c r="AJ163" s="99"/>
    </row>
    <row r="164" spans="6:36">
      <c r="F164" s="99"/>
      <c r="G164" s="99"/>
      <c r="H164" s="99"/>
      <c r="I164" s="99"/>
      <c r="O164" s="99"/>
      <c r="P164" s="99"/>
      <c r="Q164" s="99"/>
      <c r="R164" s="99"/>
      <c r="W164" s="99"/>
      <c r="X164" s="99"/>
      <c r="Y164" s="99"/>
      <c r="Z164" s="99"/>
      <c r="AA164" s="99"/>
      <c r="AF164" s="99"/>
      <c r="AG164" s="99"/>
      <c r="AH164" s="99"/>
      <c r="AI164" s="99"/>
      <c r="AJ164" s="99"/>
    </row>
    <row r="165" spans="6:36">
      <c r="F165" s="99"/>
      <c r="G165" s="99"/>
      <c r="H165" s="99"/>
      <c r="I165" s="99"/>
      <c r="O165" s="99"/>
      <c r="P165" s="99"/>
      <c r="Q165" s="99"/>
      <c r="R165" s="99"/>
      <c r="W165" s="99"/>
      <c r="X165" s="99"/>
      <c r="Y165" s="99"/>
      <c r="Z165" s="99"/>
      <c r="AA165" s="99"/>
      <c r="AF165" s="99"/>
      <c r="AG165" s="99"/>
      <c r="AH165" s="99"/>
      <c r="AI165" s="99"/>
      <c r="AJ165" s="99"/>
    </row>
    <row r="166" spans="6:36">
      <c r="F166" s="99"/>
      <c r="G166" s="99"/>
      <c r="H166" s="99"/>
      <c r="I166" s="99"/>
      <c r="O166" s="99"/>
      <c r="P166" s="99"/>
      <c r="Q166" s="99"/>
      <c r="R166" s="99"/>
      <c r="W166" s="99"/>
      <c r="X166" s="99"/>
      <c r="Y166" s="99"/>
      <c r="Z166" s="99"/>
      <c r="AA166" s="99"/>
      <c r="AF166" s="99"/>
      <c r="AG166" s="99"/>
      <c r="AH166" s="99"/>
      <c r="AI166" s="99"/>
      <c r="AJ166" s="99"/>
    </row>
    <row r="167" spans="6:36">
      <c r="F167" s="99"/>
      <c r="G167" s="99"/>
      <c r="H167" s="99"/>
      <c r="I167" s="99"/>
      <c r="O167" s="99"/>
      <c r="P167" s="99"/>
      <c r="Q167" s="99"/>
      <c r="R167" s="99"/>
      <c r="W167" s="99"/>
      <c r="X167" s="99"/>
      <c r="Y167" s="99"/>
      <c r="Z167" s="99"/>
      <c r="AA167" s="99"/>
      <c r="AF167" s="99"/>
      <c r="AG167" s="99"/>
      <c r="AH167" s="99"/>
      <c r="AI167" s="99"/>
      <c r="AJ167" s="99"/>
    </row>
    <row r="168" spans="6:36">
      <c r="F168" s="99"/>
      <c r="G168" s="99"/>
      <c r="H168" s="99"/>
      <c r="I168" s="99"/>
      <c r="O168" s="99"/>
      <c r="P168" s="99"/>
      <c r="Q168" s="99"/>
      <c r="R168" s="99"/>
      <c r="W168" s="99"/>
      <c r="X168" s="99"/>
      <c r="Y168" s="99"/>
      <c r="Z168" s="99"/>
      <c r="AA168" s="99"/>
      <c r="AF168" s="99"/>
      <c r="AG168" s="99"/>
      <c r="AH168" s="99"/>
      <c r="AI168" s="99"/>
      <c r="AJ168" s="99"/>
    </row>
    <row r="169" spans="6:36">
      <c r="F169" s="99"/>
      <c r="G169" s="99"/>
      <c r="H169" s="99"/>
      <c r="I169" s="99"/>
      <c r="O169" s="99"/>
      <c r="P169" s="99"/>
      <c r="Q169" s="99"/>
      <c r="R169" s="99"/>
      <c r="W169" s="99"/>
      <c r="X169" s="99"/>
      <c r="Y169" s="99"/>
      <c r="Z169" s="99"/>
      <c r="AA169" s="99"/>
      <c r="AF169" s="99"/>
      <c r="AG169" s="99"/>
      <c r="AH169" s="99"/>
      <c r="AI169" s="99"/>
      <c r="AJ169" s="99"/>
    </row>
    <row r="170" spans="6:36">
      <c r="F170" s="99"/>
      <c r="G170" s="99"/>
      <c r="H170" s="99"/>
      <c r="I170" s="99"/>
      <c r="O170" s="99"/>
      <c r="P170" s="99"/>
      <c r="Q170" s="99"/>
      <c r="R170" s="99"/>
      <c r="W170" s="99"/>
      <c r="X170" s="99"/>
      <c r="Y170" s="99"/>
      <c r="Z170" s="99"/>
      <c r="AA170" s="99"/>
      <c r="AF170" s="99"/>
      <c r="AG170" s="99"/>
      <c r="AH170" s="99"/>
      <c r="AI170" s="99"/>
      <c r="AJ170" s="99"/>
    </row>
    <row r="171" spans="6:36">
      <c r="F171" s="99"/>
      <c r="G171" s="99"/>
      <c r="H171" s="99"/>
      <c r="I171" s="99"/>
      <c r="O171" s="99"/>
      <c r="P171" s="99"/>
      <c r="Q171" s="99"/>
      <c r="R171" s="99"/>
      <c r="W171" s="99"/>
      <c r="X171" s="99"/>
      <c r="Y171" s="99"/>
      <c r="Z171" s="99"/>
      <c r="AA171" s="99"/>
      <c r="AF171" s="99"/>
      <c r="AG171" s="99"/>
      <c r="AH171" s="99"/>
      <c r="AI171" s="99"/>
      <c r="AJ171" s="99"/>
    </row>
    <row r="172" spans="6:36">
      <c r="F172" s="99"/>
      <c r="G172" s="99"/>
      <c r="H172" s="99"/>
      <c r="I172" s="99"/>
      <c r="O172" s="99"/>
      <c r="P172" s="99"/>
      <c r="Q172" s="99"/>
      <c r="R172" s="99"/>
      <c r="W172" s="99"/>
      <c r="X172" s="99"/>
      <c r="Y172" s="99"/>
      <c r="Z172" s="99"/>
      <c r="AA172" s="99"/>
      <c r="AF172" s="99"/>
      <c r="AG172" s="99"/>
      <c r="AH172" s="99"/>
      <c r="AI172" s="99"/>
      <c r="AJ172" s="99"/>
    </row>
    <row r="173" spans="6:36">
      <c r="F173" s="99"/>
      <c r="G173" s="99"/>
      <c r="H173" s="99"/>
      <c r="I173" s="99"/>
      <c r="O173" s="99"/>
      <c r="P173" s="99"/>
      <c r="Q173" s="99"/>
      <c r="R173" s="99"/>
      <c r="W173" s="99"/>
      <c r="X173" s="99"/>
      <c r="Y173" s="99"/>
      <c r="Z173" s="99"/>
      <c r="AA173" s="99"/>
      <c r="AF173" s="99"/>
      <c r="AG173" s="99"/>
      <c r="AH173" s="99"/>
      <c r="AI173" s="99"/>
      <c r="AJ173" s="99"/>
    </row>
    <row r="174" spans="6:36">
      <c r="F174" s="99"/>
      <c r="G174" s="99"/>
      <c r="H174" s="99"/>
      <c r="I174" s="99"/>
      <c r="O174" s="99"/>
      <c r="P174" s="99"/>
      <c r="Q174" s="99"/>
      <c r="R174" s="99"/>
      <c r="W174" s="99"/>
      <c r="X174" s="99"/>
      <c r="Y174" s="99"/>
      <c r="Z174" s="99"/>
      <c r="AA174" s="99"/>
      <c r="AF174" s="99"/>
      <c r="AG174" s="99"/>
      <c r="AH174" s="99"/>
      <c r="AI174" s="99"/>
      <c r="AJ174" s="99"/>
    </row>
    <row r="175" spans="6:36">
      <c r="F175" s="99"/>
      <c r="G175" s="99"/>
      <c r="H175" s="99"/>
      <c r="I175" s="99"/>
      <c r="O175" s="99"/>
      <c r="P175" s="99"/>
      <c r="Q175" s="99"/>
      <c r="R175" s="99"/>
      <c r="W175" s="99"/>
      <c r="X175" s="99"/>
      <c r="Y175" s="99"/>
      <c r="Z175" s="99"/>
      <c r="AA175" s="99"/>
      <c r="AF175" s="99"/>
      <c r="AG175" s="99"/>
      <c r="AH175" s="99"/>
      <c r="AI175" s="99"/>
      <c r="AJ175" s="99"/>
    </row>
    <row r="176" spans="6:36">
      <c r="F176" s="99"/>
      <c r="G176" s="99"/>
      <c r="H176" s="99"/>
      <c r="I176" s="99"/>
      <c r="O176" s="99"/>
      <c r="P176" s="99"/>
      <c r="Q176" s="99"/>
      <c r="R176" s="99"/>
      <c r="W176" s="99"/>
      <c r="X176" s="99"/>
      <c r="Y176" s="99"/>
      <c r="Z176" s="99"/>
      <c r="AA176" s="99"/>
      <c r="AF176" s="99"/>
      <c r="AG176" s="99"/>
      <c r="AH176" s="99"/>
      <c r="AI176" s="99"/>
      <c r="AJ176" s="99"/>
    </row>
    <row r="177" spans="6:36">
      <c r="F177" s="99"/>
      <c r="G177" s="99"/>
      <c r="H177" s="99"/>
      <c r="I177" s="99"/>
      <c r="O177" s="99"/>
      <c r="P177" s="99"/>
      <c r="Q177" s="99"/>
      <c r="R177" s="99"/>
      <c r="W177" s="99"/>
      <c r="X177" s="99"/>
      <c r="Y177" s="99"/>
      <c r="Z177" s="99"/>
      <c r="AA177" s="99"/>
      <c r="AF177" s="99"/>
      <c r="AG177" s="99"/>
      <c r="AH177" s="99"/>
      <c r="AI177" s="99"/>
      <c r="AJ177" s="99"/>
    </row>
    <row r="178" spans="6:36">
      <c r="F178" s="99"/>
      <c r="G178" s="99"/>
      <c r="H178" s="99"/>
      <c r="I178" s="99"/>
      <c r="O178" s="99"/>
      <c r="P178" s="99"/>
      <c r="Q178" s="99"/>
      <c r="R178" s="99"/>
      <c r="W178" s="99"/>
      <c r="X178" s="99"/>
      <c r="Y178" s="99"/>
      <c r="Z178" s="99"/>
      <c r="AA178" s="99"/>
      <c r="AF178" s="99"/>
      <c r="AG178" s="99"/>
      <c r="AH178" s="99"/>
      <c r="AI178" s="99"/>
      <c r="AJ178" s="99"/>
    </row>
    <row r="179" spans="6:36">
      <c r="F179" s="99"/>
      <c r="G179" s="99"/>
      <c r="H179" s="99"/>
      <c r="I179" s="99"/>
      <c r="O179" s="99"/>
      <c r="P179" s="99"/>
      <c r="Q179" s="99"/>
      <c r="R179" s="99"/>
      <c r="W179" s="99"/>
      <c r="X179" s="99"/>
      <c r="Y179" s="99"/>
      <c r="Z179" s="99"/>
      <c r="AA179" s="99"/>
      <c r="AF179" s="99"/>
      <c r="AG179" s="99"/>
      <c r="AH179" s="99"/>
      <c r="AI179" s="99"/>
      <c r="AJ179" s="99"/>
    </row>
    <row r="180" spans="6:36">
      <c r="F180" s="99"/>
      <c r="G180" s="99"/>
      <c r="H180" s="99"/>
      <c r="I180" s="99"/>
      <c r="O180" s="99"/>
      <c r="P180" s="99"/>
      <c r="Q180" s="99"/>
      <c r="R180" s="99"/>
      <c r="W180" s="99"/>
      <c r="X180" s="99"/>
      <c r="Y180" s="99"/>
      <c r="Z180" s="99"/>
      <c r="AA180" s="99"/>
      <c r="AF180" s="99"/>
      <c r="AG180" s="99"/>
      <c r="AH180" s="99"/>
      <c r="AI180" s="99"/>
      <c r="AJ180" s="99"/>
    </row>
    <row r="181" spans="6:36">
      <c r="F181" s="99"/>
      <c r="G181" s="99"/>
      <c r="H181" s="99"/>
      <c r="I181" s="99"/>
      <c r="O181" s="99"/>
      <c r="P181" s="99"/>
      <c r="Q181" s="99"/>
      <c r="R181" s="99"/>
      <c r="W181" s="99"/>
      <c r="X181" s="99"/>
      <c r="Y181" s="99"/>
      <c r="Z181" s="99"/>
      <c r="AA181" s="99"/>
      <c r="AF181" s="99"/>
      <c r="AG181" s="99"/>
      <c r="AH181" s="99"/>
      <c r="AI181" s="99"/>
      <c r="AJ181" s="99"/>
    </row>
  </sheetData>
  <mergeCells count="10">
    <mergeCell ref="C2:E2"/>
    <mergeCell ref="F2:I2"/>
    <mergeCell ref="O2:R2"/>
    <mergeCell ref="S2:V2"/>
    <mergeCell ref="W2:AA2"/>
    <mergeCell ref="L5:R5"/>
    <mergeCell ref="AF2:AJ2"/>
    <mergeCell ref="AB2:AE2"/>
    <mergeCell ref="J2:N2"/>
    <mergeCell ref="I4:Q4"/>
  </mergeCells>
  <phoneticPr fontId="15"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91BDF-8CD0-224B-92D7-68F0E225C5E3}">
  <dimension ref="A1:C25"/>
  <sheetViews>
    <sheetView zoomScaleNormal="100" workbookViewId="0">
      <selection activeCell="C12" sqref="C12"/>
    </sheetView>
  </sheetViews>
  <sheetFormatPr defaultColWidth="11" defaultRowHeight="15.95"/>
  <cols>
    <col min="1" max="1" width="20.375" bestFit="1" customWidth="1"/>
    <col min="2" max="2" width="15.375" bestFit="1" customWidth="1"/>
    <col min="3" max="3" width="53" bestFit="1" customWidth="1"/>
  </cols>
  <sheetData>
    <row r="1" spans="1:3" s="5" customFormat="1">
      <c r="A1" s="146" t="s">
        <v>2385</v>
      </c>
      <c r="B1" s="146" t="s">
        <v>2386</v>
      </c>
      <c r="C1" s="146" t="s">
        <v>2387</v>
      </c>
    </row>
    <row r="3" spans="1:3">
      <c r="A3" t="s">
        <v>2388</v>
      </c>
      <c r="B3" t="s">
        <v>2389</v>
      </c>
      <c r="C3" s="323" t="s">
        <v>2390</v>
      </c>
    </row>
    <row r="4" spans="1:3">
      <c r="A4" t="s">
        <v>2391</v>
      </c>
      <c r="B4" t="s">
        <v>2392</v>
      </c>
      <c r="C4" s="35"/>
    </row>
    <row r="5" spans="1:3">
      <c r="A5" t="s">
        <v>2393</v>
      </c>
      <c r="B5" t="s">
        <v>1545</v>
      </c>
      <c r="C5" s="323" t="s">
        <v>2394</v>
      </c>
    </row>
    <row r="6" spans="1:3">
      <c r="A6" t="s">
        <v>2395</v>
      </c>
      <c r="B6" t="s">
        <v>2396</v>
      </c>
      <c r="C6" s="323" t="s">
        <v>2397</v>
      </c>
    </row>
    <row r="7" spans="1:3">
      <c r="A7" t="s">
        <v>2398</v>
      </c>
      <c r="B7" t="s">
        <v>2396</v>
      </c>
      <c r="C7" t="s">
        <v>2399</v>
      </c>
    </row>
    <row r="8" spans="1:3">
      <c r="A8" t="s">
        <v>2400</v>
      </c>
      <c r="B8" t="s">
        <v>2396</v>
      </c>
      <c r="C8" s="323" t="s">
        <v>2401</v>
      </c>
    </row>
    <row r="9" spans="1:3">
      <c r="A9" t="s">
        <v>2402</v>
      </c>
      <c r="B9" t="s">
        <v>2396</v>
      </c>
      <c r="C9" s="323" t="s">
        <v>2403</v>
      </c>
    </row>
    <row r="10" spans="1:3">
      <c r="A10" t="s">
        <v>2404</v>
      </c>
      <c r="B10" t="s">
        <v>2396</v>
      </c>
      <c r="C10" s="323" t="s">
        <v>2405</v>
      </c>
    </row>
    <row r="11" spans="1:3">
      <c r="A11" t="s">
        <v>2406</v>
      </c>
      <c r="B11" t="s">
        <v>2407</v>
      </c>
      <c r="C11" s="1" t="s">
        <v>2408</v>
      </c>
    </row>
    <row r="12" spans="1:3">
      <c r="A12" t="s">
        <v>2409</v>
      </c>
      <c r="B12" t="s">
        <v>2396</v>
      </c>
      <c r="C12" s="1" t="s">
        <v>2410</v>
      </c>
    </row>
    <row r="13" spans="1:3">
      <c r="A13" t="s">
        <v>2411</v>
      </c>
      <c r="B13" t="s">
        <v>2396</v>
      </c>
      <c r="C13" s="323" t="s">
        <v>2412</v>
      </c>
    </row>
    <row r="14" spans="1:3">
      <c r="A14" t="s">
        <v>2413</v>
      </c>
      <c r="B14" t="s">
        <v>2396</v>
      </c>
      <c r="C14" s="323" t="s">
        <v>2414</v>
      </c>
    </row>
    <row r="15" spans="1:3">
      <c r="A15" t="s">
        <v>2415</v>
      </c>
      <c r="B15" t="s">
        <v>2416</v>
      </c>
      <c r="C15" s="323" t="s">
        <v>2417</v>
      </c>
    </row>
    <row r="16" spans="1:3">
      <c r="A16" t="s">
        <v>2418</v>
      </c>
      <c r="B16" t="s">
        <v>2416</v>
      </c>
      <c r="C16" t="s">
        <v>2419</v>
      </c>
    </row>
    <row r="17" spans="1:3">
      <c r="A17" t="s">
        <v>2420</v>
      </c>
      <c r="B17" t="s">
        <v>2421</v>
      </c>
      <c r="C17" s="323" t="s">
        <v>2422</v>
      </c>
    </row>
    <row r="18" spans="1:3">
      <c r="A18" t="s">
        <v>2423</v>
      </c>
      <c r="B18" t="s">
        <v>2421</v>
      </c>
      <c r="C18" s="323" t="s">
        <v>2424</v>
      </c>
    </row>
    <row r="19" spans="1:3">
      <c r="A19" t="s">
        <v>2425</v>
      </c>
      <c r="B19" t="s">
        <v>2421</v>
      </c>
      <c r="C19" t="s">
        <v>2426</v>
      </c>
    </row>
    <row r="20" spans="1:3">
      <c r="A20" t="s">
        <v>2427</v>
      </c>
      <c r="B20" t="s">
        <v>2421</v>
      </c>
      <c r="C20" s="323" t="s">
        <v>2428</v>
      </c>
    </row>
    <row r="21" spans="1:3">
      <c r="A21" t="s">
        <v>2429</v>
      </c>
      <c r="B21" t="s">
        <v>2421</v>
      </c>
      <c r="C21" s="323" t="s">
        <v>2430</v>
      </c>
    </row>
    <row r="22" spans="1:3">
      <c r="A22" t="s">
        <v>2431</v>
      </c>
      <c r="B22" t="s">
        <v>2421</v>
      </c>
      <c r="C22" s="35"/>
    </row>
    <row r="23" spans="1:3">
      <c r="A23" t="s">
        <v>2432</v>
      </c>
      <c r="B23" t="s">
        <v>2421</v>
      </c>
      <c r="C23" s="35"/>
    </row>
    <row r="24" spans="1:3">
      <c r="A24" t="s">
        <v>2433</v>
      </c>
      <c r="B24" t="s">
        <v>2421</v>
      </c>
      <c r="C24" s="35"/>
    </row>
    <row r="25" spans="1:3">
      <c r="A25" t="s">
        <v>2434</v>
      </c>
      <c r="C25" s="323" t="s">
        <v>2435</v>
      </c>
    </row>
  </sheetData>
  <autoFilter ref="A1:C1" xr:uid="{1E591BDF-8CD0-224B-92D7-68F0E225C5E3}">
    <sortState xmlns:xlrd2="http://schemas.microsoft.com/office/spreadsheetml/2017/richdata2" ref="A2:C20">
      <sortCondition ref="B1:B20"/>
    </sortState>
  </autoFilter>
  <hyperlinks>
    <hyperlink ref="C15" r:id="rId1" xr:uid="{501CEFEC-A773-604B-A1C0-50C0652066C8}"/>
    <hyperlink ref="C11" r:id="rId2" xr:uid="{0379AD3F-B06D-9C41-9067-23518489668C}"/>
    <hyperlink ref="C3" r:id="rId3" xr:uid="{D8611D2A-2B3A-344B-9F33-DA80CF04CA35}"/>
    <hyperlink ref="C10" r:id="rId4" xr:uid="{CF8E5DA0-0832-C149-9933-FCC4631B326F}"/>
    <hyperlink ref="C6" r:id="rId5" xr:uid="{D0D914CD-D59D-5C4E-B5F3-97F64EEF6D15}"/>
    <hyperlink ref="C13" r:id="rId6" xr:uid="{A6826C23-FB37-B84B-93E9-03C4DFB8224F}"/>
    <hyperlink ref="C17" r:id="rId7" xr:uid="{D8A3FA7B-9D99-E145-8FDA-521C8FBDAECE}"/>
    <hyperlink ref="C18" r:id="rId8" xr:uid="{264E23DF-7E3E-A948-A3DF-6EACFA380D26}"/>
    <hyperlink ref="C20" r:id="rId9" xr:uid="{06F8B521-099E-304B-85E1-194BA0426085}"/>
    <hyperlink ref="C21" r:id="rId10" xr:uid="{EE92034C-82EC-CC4D-9580-15D0EB91786B}"/>
    <hyperlink ref="C25" r:id="rId11" xr:uid="{8850B192-1F10-8D40-9E13-713078CEF5CA}"/>
    <hyperlink ref="C5" r:id="rId12" xr:uid="{85AB867F-73B8-D542-8547-39B8A036B322}"/>
    <hyperlink ref="C8" r:id="rId13" xr:uid="{C36EC970-7483-0440-9E42-094AAD6033F0}"/>
    <hyperlink ref="C9" r:id="rId14" xr:uid="{44B38456-C20A-FE4C-B63E-BD263D8E1021}"/>
    <hyperlink ref="C14" r:id="rId15" xr:uid="{5BD63EDF-30B2-F747-9F7F-17CECED8806D}"/>
    <hyperlink ref="C12" r:id="rId16" xr:uid="{0DF69521-3843-1149-B738-8FC2E4FE6FFF}"/>
  </hyperlink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57793-3DB7-4035-AD6E-9AD2A114B3D0}">
  <dimension ref="A1:D2"/>
  <sheetViews>
    <sheetView workbookViewId="0">
      <selection activeCell="B1" sqref="B1"/>
    </sheetView>
  </sheetViews>
  <sheetFormatPr defaultColWidth="11" defaultRowHeight="15.95"/>
  <cols>
    <col min="1" max="1" width="22.5" style="234" bestFit="1" customWidth="1"/>
    <col min="2" max="2" width="79.625" style="234" bestFit="1" customWidth="1"/>
    <col min="3" max="3" width="10.375" style="234" bestFit="1" customWidth="1"/>
    <col min="4" max="4" width="72.125" style="234" bestFit="1" customWidth="1"/>
  </cols>
  <sheetData>
    <row r="1" spans="1:4" s="35" customFormat="1">
      <c r="A1" s="243" t="s">
        <v>2436</v>
      </c>
      <c r="B1" s="243" t="s">
        <v>2437</v>
      </c>
      <c r="C1" s="243" t="s">
        <v>2438</v>
      </c>
      <c r="D1" s="243" t="s">
        <v>2439</v>
      </c>
    </row>
    <row r="2" spans="1:4">
      <c r="A2" s="242">
        <v>45862</v>
      </c>
      <c r="B2" s="328" t="s">
        <v>2440</v>
      </c>
      <c r="C2" s="328"/>
      <c r="D2" s="328" t="s">
        <v>2441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70FD9-AB7D-CF44-A918-2FA99510F7C2}">
  <dimension ref="B4:O25"/>
  <sheetViews>
    <sheetView zoomScale="101" workbookViewId="0">
      <selection activeCell="A26" sqref="A26"/>
    </sheetView>
  </sheetViews>
  <sheetFormatPr defaultColWidth="11" defaultRowHeight="15.95"/>
  <cols>
    <col min="1" max="1" width="11" style="34"/>
    <col min="2" max="2" width="45" style="34" bestFit="1" customWidth="1"/>
    <col min="3" max="3" width="29" style="34" bestFit="1" customWidth="1"/>
    <col min="4" max="4" width="16.875" style="34" bestFit="1" customWidth="1"/>
    <col min="5" max="5" width="35.875" style="34" customWidth="1"/>
    <col min="6" max="6" width="21.375" style="34" customWidth="1"/>
    <col min="7" max="7" width="18.375" style="34" bestFit="1" customWidth="1"/>
    <col min="8" max="10" width="18.375" style="34" customWidth="1"/>
    <col min="11" max="11" width="59.625" style="34" customWidth="1"/>
    <col min="12" max="16384" width="11" style="34"/>
  </cols>
  <sheetData>
    <row r="4" spans="2:15">
      <c r="D4" s="34" t="s">
        <v>2442</v>
      </c>
    </row>
    <row r="5" spans="2:15" s="5" customFormat="1">
      <c r="B5" s="21" t="s">
        <v>2443</v>
      </c>
      <c r="C5" s="21" t="s">
        <v>2444</v>
      </c>
      <c r="D5" s="21" t="s">
        <v>2445</v>
      </c>
      <c r="E5" s="21" t="s">
        <v>2446</v>
      </c>
      <c r="F5" s="21" t="s">
        <v>2447</v>
      </c>
      <c r="G5" s="21" t="s">
        <v>2448</v>
      </c>
      <c r="H5" s="21" t="s">
        <v>4</v>
      </c>
      <c r="I5" s="21" t="s">
        <v>2449</v>
      </c>
      <c r="J5" s="21" t="s">
        <v>2450</v>
      </c>
      <c r="K5" s="21" t="s">
        <v>2023</v>
      </c>
      <c r="L5" s="21"/>
      <c r="M5" s="21"/>
      <c r="N5" s="21"/>
      <c r="O5" s="21"/>
    </row>
    <row r="6" spans="2:15">
      <c r="B6" s="147" t="s">
        <v>2451</v>
      </c>
      <c r="C6" s="43" t="s">
        <v>1154</v>
      </c>
      <c r="D6" s="151">
        <v>5</v>
      </c>
      <c r="E6" s="43" t="s">
        <v>2452</v>
      </c>
      <c r="F6" s="43"/>
      <c r="G6" s="152">
        <v>45434</v>
      </c>
      <c r="H6" s="152"/>
      <c r="I6" s="153"/>
      <c r="J6" s="153"/>
      <c r="K6" s="43" t="s">
        <v>2453</v>
      </c>
      <c r="L6" s="43"/>
      <c r="M6" s="43"/>
      <c r="N6" s="43"/>
      <c r="O6" s="43"/>
    </row>
    <row r="7" spans="2:15">
      <c r="B7" s="147" t="s">
        <v>2454</v>
      </c>
      <c r="C7" s="43" t="s">
        <v>1154</v>
      </c>
      <c r="D7" s="151">
        <v>3</v>
      </c>
      <c r="E7" s="43" t="s">
        <v>2455</v>
      </c>
      <c r="F7" s="43"/>
      <c r="G7" s="152">
        <v>45516</v>
      </c>
      <c r="H7" s="152"/>
      <c r="I7" s="153"/>
      <c r="J7" s="153"/>
      <c r="K7" s="43" t="s">
        <v>2456</v>
      </c>
      <c r="L7" s="43"/>
      <c r="M7" s="43"/>
      <c r="N7" s="43"/>
      <c r="O7" s="43"/>
    </row>
    <row r="8" spans="2:15">
      <c r="B8" s="147" t="s">
        <v>2457</v>
      </c>
      <c r="C8" s="43" t="s">
        <v>2458</v>
      </c>
      <c r="D8" s="151">
        <v>2</v>
      </c>
      <c r="E8" s="43" t="s">
        <v>2459</v>
      </c>
      <c r="F8" s="43"/>
      <c r="G8" s="152">
        <v>45747</v>
      </c>
      <c r="H8" s="152"/>
      <c r="I8" s="153"/>
      <c r="J8" s="153"/>
      <c r="K8" s="43" t="s">
        <v>2460</v>
      </c>
      <c r="L8" s="43"/>
      <c r="M8" s="43"/>
      <c r="N8" s="43"/>
      <c r="O8" s="43"/>
    </row>
    <row r="9" spans="2:15">
      <c r="B9" s="147" t="s">
        <v>2461</v>
      </c>
      <c r="C9" s="43" t="s">
        <v>1154</v>
      </c>
      <c r="D9" s="151">
        <v>4</v>
      </c>
      <c r="E9" s="43" t="s">
        <v>111</v>
      </c>
      <c r="F9" s="43"/>
      <c r="G9" s="152">
        <v>45754</v>
      </c>
      <c r="H9" s="152"/>
      <c r="I9" s="153"/>
      <c r="J9" s="153"/>
      <c r="K9" s="148" t="s">
        <v>2462</v>
      </c>
      <c r="L9" s="43"/>
      <c r="M9" s="43"/>
      <c r="N9" s="43"/>
      <c r="O9" s="43"/>
    </row>
    <row r="10" spans="2:15">
      <c r="B10" s="147" t="s">
        <v>2463</v>
      </c>
      <c r="C10" s="43" t="s">
        <v>2464</v>
      </c>
      <c r="D10" s="151">
        <v>1</v>
      </c>
      <c r="E10" s="43" t="s">
        <v>111</v>
      </c>
      <c r="F10" s="43"/>
      <c r="G10" s="152">
        <v>45767</v>
      </c>
      <c r="H10" s="152"/>
      <c r="I10" s="153"/>
      <c r="J10" s="153"/>
      <c r="K10" s="149" t="s">
        <v>2465</v>
      </c>
      <c r="L10" s="43"/>
      <c r="M10" s="43"/>
      <c r="N10" s="43"/>
      <c r="O10" s="43"/>
    </row>
    <row r="11" spans="2:15">
      <c r="B11" s="147" t="s">
        <v>2466</v>
      </c>
      <c r="C11" s="43" t="s">
        <v>2467</v>
      </c>
      <c r="D11" s="151">
        <v>1</v>
      </c>
      <c r="E11" s="43" t="s">
        <v>2468</v>
      </c>
      <c r="F11" s="43"/>
      <c r="G11" s="152">
        <v>45769</v>
      </c>
      <c r="H11" s="152"/>
      <c r="I11" s="153"/>
      <c r="J11" s="153"/>
      <c r="K11" s="43" t="s">
        <v>2469</v>
      </c>
      <c r="L11" s="43"/>
      <c r="M11" s="43"/>
      <c r="N11" s="43"/>
      <c r="O11" s="43"/>
    </row>
    <row r="12" spans="2:15">
      <c r="B12" s="147" t="s">
        <v>2470</v>
      </c>
      <c r="C12" s="43" t="s">
        <v>2471</v>
      </c>
      <c r="D12" s="151">
        <v>2</v>
      </c>
      <c r="E12" s="43" t="s">
        <v>2472</v>
      </c>
      <c r="F12" s="43"/>
      <c r="G12" s="152">
        <v>45814</v>
      </c>
      <c r="H12" s="152" t="s">
        <v>2473</v>
      </c>
      <c r="I12" s="153"/>
      <c r="J12" s="153"/>
      <c r="K12" s="43" t="s">
        <v>2474</v>
      </c>
      <c r="L12" s="43"/>
      <c r="M12" s="43"/>
      <c r="N12" s="43"/>
      <c r="O12" s="43"/>
    </row>
    <row r="13" spans="2:15">
      <c r="B13" s="43" t="s">
        <v>2475</v>
      </c>
      <c r="C13" s="43" t="s">
        <v>2476</v>
      </c>
      <c r="D13" s="151">
        <v>4</v>
      </c>
      <c r="E13" s="43" t="s">
        <v>2477</v>
      </c>
      <c r="F13" s="43" t="s">
        <v>2037</v>
      </c>
      <c r="G13" s="152">
        <v>45814</v>
      </c>
      <c r="H13" s="152" t="s">
        <v>2478</v>
      </c>
      <c r="I13" s="153"/>
      <c r="J13" s="153"/>
      <c r="K13" s="43" t="s">
        <v>2479</v>
      </c>
      <c r="L13" s="43"/>
      <c r="M13" s="43"/>
      <c r="N13" s="43"/>
      <c r="O13" s="43"/>
    </row>
    <row r="14" spans="2:15" s="228" customFormat="1">
      <c r="B14" s="229" t="s">
        <v>2480</v>
      </c>
      <c r="C14" s="230" t="s">
        <v>1154</v>
      </c>
      <c r="D14" s="231">
        <v>3</v>
      </c>
      <c r="E14" s="230" t="s">
        <v>2455</v>
      </c>
      <c r="F14" s="230"/>
      <c r="G14" s="232">
        <v>45992</v>
      </c>
      <c r="H14" s="232"/>
      <c r="I14" s="233"/>
      <c r="J14" s="233"/>
      <c r="K14" s="230" t="s">
        <v>2481</v>
      </c>
      <c r="L14" s="230"/>
      <c r="M14" s="230"/>
      <c r="N14" s="230"/>
      <c r="O14" s="230"/>
    </row>
    <row r="15" spans="2:15">
      <c r="B15" s="147" t="s">
        <v>2482</v>
      </c>
      <c r="C15" s="43" t="s">
        <v>2483</v>
      </c>
      <c r="D15" s="151">
        <v>5</v>
      </c>
      <c r="E15" s="43" t="s">
        <v>2484</v>
      </c>
      <c r="F15" s="43"/>
      <c r="G15" s="152">
        <v>45947</v>
      </c>
      <c r="H15" s="152"/>
      <c r="I15" s="153"/>
      <c r="J15" s="153"/>
      <c r="K15" s="43" t="s">
        <v>2485</v>
      </c>
      <c r="L15" s="43"/>
      <c r="M15" s="43"/>
      <c r="N15" s="43"/>
      <c r="O15" s="43"/>
    </row>
    <row r="16" spans="2:15">
      <c r="B16" s="147" t="s">
        <v>2486</v>
      </c>
      <c r="C16" s="43" t="s">
        <v>2487</v>
      </c>
      <c r="D16" s="151">
        <v>5</v>
      </c>
      <c r="E16" s="43" t="s">
        <v>2488</v>
      </c>
      <c r="F16" s="43"/>
      <c r="G16" s="152">
        <v>45961</v>
      </c>
      <c r="H16" s="152"/>
      <c r="I16" s="153"/>
      <c r="J16" s="153"/>
      <c r="K16" s="43" t="s">
        <v>2489</v>
      </c>
      <c r="L16" s="43"/>
      <c r="M16" s="43"/>
      <c r="N16" s="43"/>
      <c r="O16" s="43"/>
    </row>
    <row r="17" spans="2:15">
      <c r="B17" s="147" t="s">
        <v>2490</v>
      </c>
      <c r="C17" s="43" t="s">
        <v>2491</v>
      </c>
      <c r="D17" s="151">
        <v>2</v>
      </c>
      <c r="E17" s="43" t="s">
        <v>2492</v>
      </c>
      <c r="F17" s="43"/>
      <c r="G17" s="152">
        <v>45975</v>
      </c>
      <c r="H17" s="152"/>
      <c r="I17" s="153"/>
      <c r="J17" s="153"/>
      <c r="K17" s="43" t="s">
        <v>2493</v>
      </c>
      <c r="L17" s="43"/>
      <c r="M17" s="43"/>
      <c r="N17" s="43"/>
      <c r="O17" s="43"/>
    </row>
    <row r="18" spans="2:15">
      <c r="B18" s="147" t="s">
        <v>2340</v>
      </c>
      <c r="C18" s="43" t="s">
        <v>2494</v>
      </c>
      <c r="D18" s="151">
        <v>4</v>
      </c>
      <c r="E18" s="43" t="s">
        <v>2495</v>
      </c>
      <c r="F18" s="43" t="s">
        <v>2037</v>
      </c>
      <c r="G18" s="152">
        <v>45912</v>
      </c>
      <c r="H18" s="152"/>
      <c r="I18" s="153">
        <v>46079</v>
      </c>
      <c r="J18" s="153" t="s">
        <v>2496</v>
      </c>
      <c r="K18" s="43" t="s">
        <v>2497</v>
      </c>
      <c r="L18" s="43"/>
      <c r="M18" s="43"/>
      <c r="N18" s="43"/>
      <c r="O18" s="43"/>
    </row>
    <row r="19" spans="2:15">
      <c r="B19" s="147" t="s">
        <v>2498</v>
      </c>
      <c r="C19" s="43" t="s">
        <v>2499</v>
      </c>
      <c r="D19" s="151">
        <v>3</v>
      </c>
      <c r="E19" s="43" t="s">
        <v>2500</v>
      </c>
      <c r="F19" s="43"/>
      <c r="G19" s="152"/>
      <c r="H19" s="152"/>
      <c r="I19" s="153"/>
      <c r="J19" s="153"/>
      <c r="K19" s="43" t="s">
        <v>2501</v>
      </c>
      <c r="L19" s="43"/>
      <c r="M19" s="43"/>
      <c r="N19" s="43"/>
      <c r="O19" s="43"/>
    </row>
    <row r="20" spans="2:15">
      <c r="B20" s="147" t="s">
        <v>2502</v>
      </c>
      <c r="C20" s="43" t="s">
        <v>2502</v>
      </c>
      <c r="D20" s="151">
        <v>4</v>
      </c>
      <c r="E20" s="43" t="s">
        <v>2503</v>
      </c>
      <c r="F20" s="43"/>
      <c r="G20" s="152"/>
      <c r="H20" s="152"/>
      <c r="I20" s="153"/>
      <c r="J20" s="153"/>
      <c r="K20" s="43" t="s">
        <v>2504</v>
      </c>
      <c r="L20" s="43"/>
      <c r="M20" s="43"/>
      <c r="N20" s="43"/>
      <c r="O20" s="43"/>
    </row>
    <row r="21" spans="2:15">
      <c r="B21" s="147" t="s">
        <v>2345</v>
      </c>
      <c r="C21" s="43" t="s">
        <v>2505</v>
      </c>
      <c r="D21" s="151">
        <v>4</v>
      </c>
      <c r="E21" s="43" t="s">
        <v>2506</v>
      </c>
      <c r="F21" s="43"/>
      <c r="G21" s="152">
        <v>45906</v>
      </c>
      <c r="H21" s="152"/>
      <c r="I21" s="153"/>
      <c r="J21" s="153"/>
      <c r="K21" s="43"/>
      <c r="L21" s="43"/>
      <c r="M21" s="43"/>
      <c r="N21" s="43"/>
      <c r="O21" s="43"/>
    </row>
    <row r="22" spans="2:15">
      <c r="B22" s="147" t="s">
        <v>2507</v>
      </c>
      <c r="C22" s="43" t="s">
        <v>2499</v>
      </c>
      <c r="D22" s="151">
        <v>4</v>
      </c>
      <c r="E22" s="43" t="s">
        <v>2508</v>
      </c>
      <c r="F22" s="43"/>
      <c r="G22" s="152"/>
      <c r="H22" s="152"/>
      <c r="I22" s="153"/>
      <c r="J22" s="153"/>
      <c r="K22" s="43" t="s">
        <v>2509</v>
      </c>
      <c r="L22" s="43"/>
      <c r="M22" s="43"/>
      <c r="N22" s="43"/>
      <c r="O22" s="43"/>
    </row>
    <row r="23" spans="2:15">
      <c r="B23" s="147" t="s">
        <v>2510</v>
      </c>
      <c r="C23" s="43" t="s">
        <v>2511</v>
      </c>
      <c r="D23" s="151">
        <v>2</v>
      </c>
      <c r="E23" s="43" t="s">
        <v>2512</v>
      </c>
      <c r="F23" s="43"/>
      <c r="G23" s="152"/>
      <c r="H23" s="152"/>
      <c r="I23" s="153"/>
      <c r="J23" s="153"/>
      <c r="K23" s="43" t="s">
        <v>2513</v>
      </c>
      <c r="L23" s="43"/>
      <c r="M23" s="43"/>
      <c r="N23" s="43"/>
      <c r="O23" s="43"/>
    </row>
    <row r="24" spans="2:15">
      <c r="B24" s="150" t="s">
        <v>2342</v>
      </c>
      <c r="C24" s="154" t="s">
        <v>2499</v>
      </c>
      <c r="D24" s="155">
        <v>1</v>
      </c>
      <c r="E24" s="43" t="s">
        <v>2514</v>
      </c>
      <c r="F24" s="43"/>
      <c r="G24" s="152">
        <v>45820</v>
      </c>
      <c r="H24" s="152" t="s">
        <v>2515</v>
      </c>
      <c r="I24" s="153">
        <v>45974</v>
      </c>
      <c r="J24" s="153" t="s">
        <v>2496</v>
      </c>
      <c r="K24" s="43" t="s">
        <v>2516</v>
      </c>
      <c r="L24" s="43"/>
      <c r="M24" s="43"/>
      <c r="N24" s="43"/>
      <c r="O24" s="43"/>
    </row>
    <row r="25" spans="2:15">
      <c r="B25" s="43" t="s">
        <v>2517</v>
      </c>
      <c r="C25" s="43" t="s">
        <v>2518</v>
      </c>
      <c r="D25" s="151">
        <v>1</v>
      </c>
      <c r="E25" s="43" t="s">
        <v>2519</v>
      </c>
      <c r="F25" s="43"/>
      <c r="G25" s="152">
        <v>45905</v>
      </c>
      <c r="H25" s="152"/>
      <c r="I25" s="43"/>
      <c r="J25" s="43"/>
      <c r="K25" s="43"/>
      <c r="L25" s="43"/>
      <c r="M25" s="43"/>
      <c r="N25" s="43"/>
      <c r="O25" s="43"/>
    </row>
  </sheetData>
  <autoFilter ref="B5:O5" xr:uid="{62F70FD9-AB7D-CF44-A918-2FA99510F7C2}">
    <sortState xmlns:xlrd2="http://schemas.microsoft.com/office/spreadsheetml/2017/richdata2" ref="B6:O27">
      <sortCondition ref="G5:G27"/>
    </sortState>
  </autoFilter>
  <conditionalFormatting sqref="G1:H1048576">
    <cfRule type="timePeriod" dxfId="1" priority="1" timePeriod="thisMonth">
      <formula>AND(MONTH(G1)=MONTH(TODAY()),YEAR(G1)=YEAR(TODAY()))</formula>
    </cfRule>
    <cfRule type="timePeriod" dxfId="0" priority="2" timePeriod="last7Days">
      <formula>AND(TODAY()-FLOOR(G1,1)&lt;=6,FLOOR(G1,1)&lt;=TODAY())</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548CE-A266-CD4D-8CB9-D3F2E9F0824A}">
  <dimension ref="A1:L23"/>
  <sheetViews>
    <sheetView workbookViewId="0">
      <selection activeCell="C9" sqref="C9"/>
    </sheetView>
  </sheetViews>
  <sheetFormatPr defaultColWidth="11" defaultRowHeight="15.95"/>
  <cols>
    <col min="2" max="2" width="21.375" customWidth="1"/>
    <col min="3" max="3" width="9" bestFit="1" customWidth="1"/>
    <col min="4" max="4" width="19.125" customWidth="1"/>
    <col min="5" max="5" width="22.375" bestFit="1" customWidth="1"/>
    <col min="6" max="6" width="14.625" bestFit="1" customWidth="1"/>
    <col min="7" max="7" width="25.625" customWidth="1"/>
    <col min="8" max="8" width="26.125" customWidth="1"/>
    <col min="9" max="9" width="18.625" customWidth="1"/>
    <col min="10" max="10" width="17.5" bestFit="1" customWidth="1"/>
    <col min="11" max="11" width="17.375" bestFit="1" customWidth="1"/>
    <col min="12" max="12" width="17.5" bestFit="1" customWidth="1"/>
  </cols>
  <sheetData>
    <row r="1" spans="1:12" ht="29.1" customHeight="1">
      <c r="A1" s="162" t="s">
        <v>2520</v>
      </c>
      <c r="B1" s="163"/>
      <c r="C1" s="347" t="s">
        <v>2521</v>
      </c>
      <c r="D1" s="347"/>
      <c r="E1" s="163"/>
      <c r="F1" s="163"/>
      <c r="G1" s="163"/>
      <c r="H1" s="163"/>
      <c r="I1" s="162" t="s">
        <v>2522</v>
      </c>
      <c r="J1" s="164" t="s">
        <v>2523</v>
      </c>
      <c r="K1" s="123"/>
    </row>
    <row r="2" spans="1:12" ht="30.95" customHeight="1">
      <c r="A2" s="162" t="s">
        <v>2183</v>
      </c>
      <c r="B2" s="163"/>
      <c r="C2" s="347" t="s">
        <v>2524</v>
      </c>
      <c r="D2" s="347"/>
      <c r="E2" s="163"/>
      <c r="F2" s="163"/>
      <c r="G2" s="163"/>
      <c r="H2" s="163"/>
      <c r="I2" s="162" t="s">
        <v>2525</v>
      </c>
      <c r="J2" s="165">
        <v>45813</v>
      </c>
      <c r="K2" s="123"/>
    </row>
    <row r="3" spans="1:12" ht="33.950000000000003">
      <c r="A3" s="157" t="s">
        <v>2526</v>
      </c>
      <c r="B3" s="156" t="s">
        <v>2527</v>
      </c>
      <c r="C3" s="156" t="s">
        <v>2528</v>
      </c>
      <c r="D3" s="156" t="s">
        <v>2529</v>
      </c>
      <c r="E3" s="156" t="s">
        <v>2530</v>
      </c>
      <c r="F3" s="156" t="s">
        <v>2531</v>
      </c>
      <c r="G3" s="158" t="s">
        <v>2532</v>
      </c>
      <c r="H3" s="156" t="s">
        <v>2533</v>
      </c>
      <c r="I3" s="156" t="s">
        <v>2534</v>
      </c>
      <c r="J3" s="156" t="s">
        <v>2535</v>
      </c>
      <c r="K3" s="156" t="s">
        <v>2536</v>
      </c>
      <c r="L3" s="156" t="s">
        <v>2537</v>
      </c>
    </row>
    <row r="4" spans="1:12">
      <c r="A4" s="159">
        <v>1</v>
      </c>
      <c r="B4" s="160" t="s">
        <v>2538</v>
      </c>
      <c r="C4" s="160" t="s">
        <v>2539</v>
      </c>
      <c r="D4" s="160"/>
      <c r="E4" s="161"/>
      <c r="F4" s="161"/>
      <c r="G4" s="147"/>
      <c r="H4" s="147"/>
      <c r="I4" s="147"/>
      <c r="J4" s="147"/>
      <c r="K4" s="37"/>
      <c r="L4" s="37"/>
    </row>
    <row r="5" spans="1:12">
      <c r="A5" s="159">
        <v>2</v>
      </c>
      <c r="B5" s="160" t="s">
        <v>2540</v>
      </c>
      <c r="C5" s="160" t="s">
        <v>2541</v>
      </c>
      <c r="D5" s="160"/>
      <c r="E5" s="161" t="s">
        <v>2542</v>
      </c>
      <c r="F5" s="161"/>
      <c r="G5" s="147"/>
      <c r="H5" s="147"/>
      <c r="I5" s="147"/>
      <c r="J5" s="147"/>
      <c r="K5" s="37"/>
      <c r="L5" s="37"/>
    </row>
    <row r="6" spans="1:12">
      <c r="A6" s="159">
        <v>3</v>
      </c>
      <c r="B6" s="160" t="s">
        <v>1270</v>
      </c>
      <c r="C6" s="160" t="s">
        <v>2541</v>
      </c>
      <c r="D6" s="160"/>
      <c r="E6" s="161">
        <v>2</v>
      </c>
      <c r="F6" s="161"/>
      <c r="G6" s="147"/>
      <c r="H6" s="147"/>
      <c r="I6" s="147"/>
      <c r="J6" s="147"/>
      <c r="K6" s="37"/>
      <c r="L6" s="37"/>
    </row>
    <row r="7" spans="1:12">
      <c r="A7" s="159">
        <v>4</v>
      </c>
      <c r="B7" s="160" t="s">
        <v>1472</v>
      </c>
      <c r="C7" s="160" t="s">
        <v>2541</v>
      </c>
      <c r="D7" s="160"/>
      <c r="E7" s="161"/>
      <c r="F7" s="161"/>
      <c r="G7" s="147"/>
      <c r="H7" s="147"/>
      <c r="I7" s="147"/>
      <c r="J7" s="147"/>
      <c r="K7" s="37"/>
      <c r="L7" s="37"/>
    </row>
    <row r="8" spans="1:12">
      <c r="A8" s="159">
        <v>5</v>
      </c>
      <c r="B8" s="160" t="s">
        <v>2543</v>
      </c>
      <c r="C8" s="160" t="s">
        <v>2541</v>
      </c>
      <c r="D8" s="160"/>
      <c r="E8" s="161"/>
      <c r="F8" s="161"/>
      <c r="G8" s="147"/>
      <c r="H8" s="147"/>
      <c r="I8" s="147"/>
      <c r="J8" s="147"/>
      <c r="K8" s="37"/>
      <c r="L8" s="37"/>
    </row>
    <row r="9" spans="1:12">
      <c r="A9" s="159">
        <v>6</v>
      </c>
      <c r="B9" s="160" t="s">
        <v>1266</v>
      </c>
      <c r="C9" s="160" t="s">
        <v>2541</v>
      </c>
      <c r="D9" s="105"/>
      <c r="E9" s="105"/>
      <c r="F9" s="105"/>
      <c r="G9" s="105"/>
      <c r="H9" s="105"/>
      <c r="I9" s="105"/>
      <c r="J9" s="105"/>
      <c r="K9" s="37"/>
      <c r="L9" s="37"/>
    </row>
    <row r="10" spans="1:12">
      <c r="A10" s="159">
        <v>7</v>
      </c>
      <c r="B10" s="160" t="s">
        <v>285</v>
      </c>
      <c r="C10" s="160" t="s">
        <v>2544</v>
      </c>
      <c r="D10" s="160"/>
      <c r="E10" s="161"/>
      <c r="F10" s="161"/>
      <c r="G10" s="147"/>
      <c r="H10" s="147"/>
      <c r="I10" s="147"/>
      <c r="J10" s="147"/>
      <c r="K10" s="37"/>
      <c r="L10" s="37"/>
    </row>
    <row r="11" spans="1:12">
      <c r="A11" s="159">
        <v>8</v>
      </c>
      <c r="B11" s="160" t="s">
        <v>2545</v>
      </c>
      <c r="C11" s="160" t="s">
        <v>2544</v>
      </c>
      <c r="D11" s="160"/>
      <c r="E11" s="161"/>
      <c r="F11" s="161"/>
      <c r="G11" s="147"/>
      <c r="H11" s="147"/>
      <c r="I11" s="147"/>
      <c r="J11" s="147"/>
      <c r="K11" s="37"/>
      <c r="L11" s="37"/>
    </row>
    <row r="12" spans="1:12">
      <c r="A12" s="37"/>
      <c r="B12" s="37"/>
      <c r="C12" s="37"/>
      <c r="D12" s="37"/>
      <c r="E12" s="37"/>
      <c r="F12" s="37"/>
      <c r="G12" s="37"/>
      <c r="H12" s="37"/>
      <c r="I12" s="37"/>
      <c r="J12" s="37"/>
      <c r="K12" s="37"/>
      <c r="L12" s="37"/>
    </row>
    <row r="13" spans="1:12">
      <c r="A13" s="37"/>
      <c r="B13" s="37"/>
      <c r="C13" s="37"/>
      <c r="D13" s="37"/>
      <c r="E13" s="37"/>
      <c r="F13" s="37"/>
      <c r="G13" s="37"/>
      <c r="H13" s="37"/>
      <c r="I13" s="37"/>
      <c r="J13" s="37"/>
      <c r="K13" s="37"/>
      <c r="L13" s="37"/>
    </row>
    <row r="14" spans="1:12">
      <c r="A14" s="37"/>
      <c r="B14" s="37"/>
      <c r="C14" s="37"/>
      <c r="D14" s="37"/>
      <c r="E14" s="37"/>
      <c r="F14" s="37"/>
      <c r="G14" s="37"/>
      <c r="H14" s="37"/>
      <c r="I14" s="37"/>
      <c r="J14" s="37"/>
      <c r="K14" s="37"/>
      <c r="L14" s="37"/>
    </row>
    <row r="15" spans="1:12">
      <c r="A15" s="37"/>
      <c r="B15" s="37"/>
      <c r="C15" s="37"/>
      <c r="D15" s="37"/>
      <c r="E15" s="37"/>
      <c r="F15" s="37"/>
      <c r="G15" s="37"/>
      <c r="H15" s="37"/>
      <c r="I15" s="37"/>
      <c r="J15" s="37"/>
      <c r="K15" s="37"/>
      <c r="L15" s="37"/>
    </row>
    <row r="16" spans="1:12">
      <c r="A16" s="37"/>
      <c r="B16" s="37"/>
      <c r="C16" s="37"/>
      <c r="D16" s="37"/>
      <c r="E16" s="37"/>
      <c r="F16" s="37"/>
      <c r="G16" s="37"/>
      <c r="H16" s="37"/>
      <c r="I16" s="37"/>
      <c r="J16" s="37"/>
      <c r="K16" s="37"/>
      <c r="L16" s="37"/>
    </row>
    <row r="17" spans="1:12">
      <c r="A17" s="37"/>
      <c r="B17" s="37"/>
      <c r="C17" s="37"/>
      <c r="D17" s="37"/>
      <c r="E17" s="37"/>
      <c r="F17" s="37"/>
      <c r="G17" s="37"/>
      <c r="H17" s="37"/>
      <c r="I17" s="37"/>
      <c r="J17" s="37"/>
      <c r="K17" s="37"/>
      <c r="L17" s="37"/>
    </row>
    <row r="18" spans="1:12">
      <c r="A18" s="37"/>
      <c r="B18" s="37"/>
      <c r="C18" s="37"/>
      <c r="D18" s="37"/>
      <c r="E18" s="37"/>
      <c r="F18" s="37"/>
      <c r="G18" s="37"/>
      <c r="H18" s="37"/>
      <c r="I18" s="37"/>
      <c r="J18" s="37"/>
      <c r="K18" s="37"/>
      <c r="L18" s="37"/>
    </row>
    <row r="19" spans="1:12">
      <c r="A19" s="37"/>
      <c r="B19" s="37"/>
      <c r="C19" s="37"/>
      <c r="D19" s="37"/>
      <c r="E19" s="37"/>
      <c r="F19" s="37"/>
      <c r="G19" s="37"/>
      <c r="H19" s="37"/>
      <c r="I19" s="37"/>
      <c r="J19" s="37"/>
      <c r="K19" s="37"/>
      <c r="L19" s="37"/>
    </row>
    <row r="20" spans="1:12">
      <c r="A20" s="37"/>
      <c r="B20" s="37"/>
      <c r="C20" s="37"/>
      <c r="D20" s="37"/>
      <c r="E20" s="37"/>
      <c r="F20" s="37"/>
      <c r="G20" s="37"/>
      <c r="H20" s="37"/>
      <c r="I20" s="37"/>
      <c r="J20" s="37"/>
      <c r="K20" s="37"/>
      <c r="L20" s="37"/>
    </row>
    <row r="21" spans="1:12">
      <c r="A21" s="37"/>
      <c r="B21" s="37"/>
      <c r="C21" s="37"/>
      <c r="D21" s="37"/>
      <c r="E21" s="37"/>
      <c r="F21" s="37"/>
      <c r="G21" s="37"/>
      <c r="H21" s="37"/>
      <c r="I21" s="37"/>
      <c r="J21" s="37"/>
      <c r="K21" s="37"/>
      <c r="L21" s="37"/>
    </row>
    <row r="22" spans="1:12">
      <c r="A22" s="37"/>
      <c r="B22" s="37"/>
      <c r="C22" s="37"/>
      <c r="D22" s="37"/>
      <c r="E22" s="37"/>
      <c r="F22" s="37"/>
      <c r="G22" s="37"/>
      <c r="H22" s="37"/>
      <c r="I22" s="37"/>
      <c r="J22" s="37"/>
      <c r="K22" s="37"/>
      <c r="L22" s="37"/>
    </row>
    <row r="23" spans="1:12">
      <c r="A23" s="37"/>
      <c r="B23" s="37"/>
      <c r="C23" s="37"/>
      <c r="D23" s="37"/>
      <c r="E23" s="37"/>
      <c r="F23" s="37"/>
      <c r="G23" s="37"/>
      <c r="H23" s="37"/>
      <c r="I23" s="37"/>
      <c r="J23" s="37"/>
      <c r="K23" s="37"/>
      <c r="L23" s="37"/>
    </row>
  </sheetData>
  <mergeCells count="2">
    <mergeCell ref="C1:D1"/>
    <mergeCell ref="C2:D2"/>
  </mergeCells>
  <phoneticPr fontId="15"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3E0B5-CD25-244D-AF45-5397686F5B55}">
  <dimension ref="A1:G47"/>
  <sheetViews>
    <sheetView topLeftCell="A25" zoomScale="75" workbookViewId="0">
      <selection activeCell="G25" sqref="G25"/>
    </sheetView>
  </sheetViews>
  <sheetFormatPr defaultColWidth="11" defaultRowHeight="15.95"/>
  <cols>
    <col min="1" max="1" width="61.375" style="4" customWidth="1"/>
    <col min="2" max="2" width="7" style="213" bestFit="1" customWidth="1"/>
    <col min="3" max="3" width="56.875" style="4" customWidth="1"/>
    <col min="4" max="4" width="17.375" style="213" customWidth="1"/>
    <col min="5" max="5" width="56.875" style="4" customWidth="1"/>
    <col min="6" max="6" width="15.375" style="4" customWidth="1"/>
    <col min="7" max="7" width="58.5" customWidth="1"/>
  </cols>
  <sheetData>
    <row r="1" spans="1:7" ht="17.100000000000001">
      <c r="A1" s="139" t="s">
        <v>2546</v>
      </c>
      <c r="B1" s="211"/>
      <c r="C1" s="139" t="s">
        <v>2547</v>
      </c>
      <c r="D1" s="211"/>
      <c r="E1" s="139" t="s">
        <v>2548</v>
      </c>
      <c r="F1" s="139"/>
      <c r="G1" s="140" t="s">
        <v>2549</v>
      </c>
    </row>
    <row r="2" spans="1:7" s="5" customFormat="1" ht="17.100000000000001">
      <c r="A2" s="8" t="s">
        <v>2550</v>
      </c>
      <c r="B2" s="212" t="s">
        <v>2551</v>
      </c>
      <c r="C2" s="8" t="s">
        <v>2550</v>
      </c>
      <c r="D2" s="212" t="s">
        <v>2551</v>
      </c>
      <c r="E2" s="8"/>
      <c r="F2" s="8" t="s">
        <v>2551</v>
      </c>
    </row>
    <row r="3" spans="1:7" ht="408.95" customHeight="1">
      <c r="A3" s="209" t="s">
        <v>2552</v>
      </c>
      <c r="B3" s="179">
        <v>45818</v>
      </c>
      <c r="C3" s="209" t="s">
        <v>2553</v>
      </c>
      <c r="D3" s="179">
        <v>45820</v>
      </c>
      <c r="E3" s="138"/>
      <c r="F3" s="246">
        <v>45791</v>
      </c>
      <c r="G3" t="s">
        <v>2554</v>
      </c>
    </row>
    <row r="4" spans="1:7" ht="135.94999999999999">
      <c r="A4" s="4" t="s">
        <v>2555</v>
      </c>
      <c r="C4" s="209" t="s">
        <v>2556</v>
      </c>
      <c r="D4" s="215">
        <v>45828</v>
      </c>
      <c r="F4" s="14">
        <v>45840</v>
      </c>
      <c r="G4" t="s">
        <v>2557</v>
      </c>
    </row>
    <row r="5" spans="1:7" ht="102">
      <c r="A5" s="4" t="s">
        <v>2558</v>
      </c>
      <c r="C5" s="138" t="s">
        <v>2559</v>
      </c>
    </row>
    <row r="6" spans="1:7" ht="119.1">
      <c r="A6" s="4" t="s">
        <v>2560</v>
      </c>
      <c r="C6" s="4" t="s">
        <v>2561</v>
      </c>
    </row>
    <row r="7" spans="1:7" ht="306">
      <c r="A7" s="210" t="s">
        <v>2562</v>
      </c>
      <c r="B7" s="214">
        <v>45834</v>
      </c>
      <c r="C7" s="4" t="s">
        <v>2563</v>
      </c>
    </row>
    <row r="8" spans="1:7" ht="398.1">
      <c r="A8" s="4" t="s">
        <v>2564</v>
      </c>
      <c r="C8" s="218" t="s">
        <v>2565</v>
      </c>
    </row>
    <row r="9" spans="1:7" ht="372">
      <c r="A9" s="4" t="s">
        <v>2566</v>
      </c>
      <c r="C9" s="4" t="s">
        <v>2567</v>
      </c>
    </row>
    <row r="10" spans="1:7" ht="306">
      <c r="A10" s="4" t="s">
        <v>2568</v>
      </c>
      <c r="C10" s="216" t="s">
        <v>2569</v>
      </c>
    </row>
    <row r="11" spans="1:7" ht="170.1">
      <c r="A11" s="4" t="s">
        <v>2570</v>
      </c>
      <c r="C11"/>
    </row>
    <row r="12" spans="1:7" ht="119.1">
      <c r="A12" s="4" t="s">
        <v>2571</v>
      </c>
      <c r="C12" s="216" t="s">
        <v>2572</v>
      </c>
    </row>
    <row r="13" spans="1:7" ht="119.1">
      <c r="A13" s="4" t="s">
        <v>2573</v>
      </c>
      <c r="C13"/>
    </row>
    <row r="14" spans="1:7" ht="153">
      <c r="A14" s="4" t="s">
        <v>2574</v>
      </c>
      <c r="C14" s="216" t="s">
        <v>2575</v>
      </c>
    </row>
    <row r="15" spans="1:7" ht="102">
      <c r="A15" s="4" t="s">
        <v>2576</v>
      </c>
      <c r="C15"/>
    </row>
    <row r="16" spans="1:7" ht="221.1">
      <c r="A16" s="4" t="s">
        <v>2577</v>
      </c>
      <c r="C16" s="216" t="s">
        <v>2578</v>
      </c>
    </row>
    <row r="17" spans="1:3" ht="17.100000000000001">
      <c r="A17" s="4" t="s">
        <v>2579</v>
      </c>
      <c r="C17"/>
    </row>
    <row r="18" spans="1:3" ht="18">
      <c r="A18" s="4" t="s">
        <v>2580</v>
      </c>
      <c r="C18" s="216" t="s">
        <v>2581</v>
      </c>
    </row>
    <row r="19" spans="1:3" ht="17.100000000000001">
      <c r="A19" s="210" t="s">
        <v>2582</v>
      </c>
      <c r="B19" s="214">
        <v>45840</v>
      </c>
      <c r="C19"/>
    </row>
    <row r="20" spans="1:3">
      <c r="C20" s="1" t="s">
        <v>2583</v>
      </c>
    </row>
    <row r="21" spans="1:3" ht="18">
      <c r="C21" s="216" t="s">
        <v>2584</v>
      </c>
    </row>
    <row r="22" spans="1:3" ht="18">
      <c r="C22" s="216" t="s">
        <v>2585</v>
      </c>
    </row>
    <row r="23" spans="1:3" ht="18">
      <c r="C23" s="216" t="s">
        <v>2586</v>
      </c>
    </row>
    <row r="24" spans="1:3" ht="18">
      <c r="C24" s="216" t="s">
        <v>2587</v>
      </c>
    </row>
    <row r="25" spans="1:3">
      <c r="C25"/>
    </row>
    <row r="26" spans="1:3" ht="18">
      <c r="C26" s="216" t="s">
        <v>2588</v>
      </c>
    </row>
    <row r="27" spans="1:3">
      <c r="C27"/>
    </row>
    <row r="28" spans="1:3" ht="18">
      <c r="C28" s="216" t="s">
        <v>2589</v>
      </c>
    </row>
    <row r="29" spans="1:3">
      <c r="C29"/>
    </row>
    <row r="30" spans="1:3" ht="18">
      <c r="C30" s="216" t="s">
        <v>2590</v>
      </c>
    </row>
    <row r="31" spans="1:3">
      <c r="C31"/>
    </row>
    <row r="32" spans="1:3">
      <c r="C32" s="1" t="s">
        <v>2591</v>
      </c>
    </row>
    <row r="33" spans="2:3">
      <c r="C33"/>
    </row>
    <row r="34" spans="2:3">
      <c r="C34" s="1" t="s">
        <v>2592</v>
      </c>
    </row>
    <row r="35" spans="2:3">
      <c r="C35"/>
    </row>
    <row r="36" spans="2:3" ht="18">
      <c r="C36" s="216" t="s">
        <v>2593</v>
      </c>
    </row>
    <row r="37" spans="2:3">
      <c r="C37"/>
    </row>
    <row r="38" spans="2:3" ht="18">
      <c r="C38" s="216" t="s">
        <v>2594</v>
      </c>
    </row>
    <row r="39" spans="2:3">
      <c r="C39"/>
    </row>
    <row r="40" spans="2:3" ht="18">
      <c r="C40" s="216" t="s">
        <v>2595</v>
      </c>
    </row>
    <row r="41" spans="2:3">
      <c r="C41"/>
    </row>
    <row r="42" spans="2:3" ht="18">
      <c r="C42" s="217" t="s">
        <v>2596</v>
      </c>
    </row>
    <row r="43" spans="2:3" ht="18">
      <c r="C43" s="217"/>
    </row>
    <row r="44" spans="2:3">
      <c r="C44" s="1" t="s">
        <v>2597</v>
      </c>
    </row>
    <row r="47" spans="2:3">
      <c r="B47" s="214">
        <v>45842</v>
      </c>
      <c r="C47" s="245" t="s">
        <v>2598</v>
      </c>
    </row>
  </sheetData>
  <hyperlinks>
    <hyperlink ref="C20" r:id="rId1" display="https://www.linkedin.com/company/scotai/" xr:uid="{B37A5DAB-4B09-804D-9B8A-248299D715DC}"/>
    <hyperlink ref="C32" r:id="rId2" display="https://www.linkedin.com/company/scotai/" xr:uid="{32B2C46D-85BF-B445-8BD1-AAFB804DBE9B}"/>
    <hyperlink ref="C34" r:id="rId3" display="https://www.linkedin.com/company/scotai/" xr:uid="{A3850755-282D-994B-9058-23B45294FBED}"/>
    <hyperlink ref="C44" r:id="rId4" xr:uid="{A4A1C90A-2B93-9741-88F3-917E3E7DE8E8}"/>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44CB5-CC63-47F3-A116-242FF15578B4}">
  <dimension ref="A1:F29"/>
  <sheetViews>
    <sheetView workbookViewId="0">
      <selection activeCell="E21" sqref="E21"/>
    </sheetView>
  </sheetViews>
  <sheetFormatPr defaultColWidth="11" defaultRowHeight="15.95"/>
  <cols>
    <col min="1" max="1" width="6.375" bestFit="1" customWidth="1"/>
    <col min="2" max="2" width="10.5" bestFit="1" customWidth="1"/>
    <col min="3" max="3" width="18.625" bestFit="1" customWidth="1"/>
    <col min="4" max="4" width="72" bestFit="1" customWidth="1"/>
    <col min="5" max="5" width="16" bestFit="1" customWidth="1"/>
    <col min="6" max="6" width="7.375" bestFit="1" customWidth="1"/>
  </cols>
  <sheetData>
    <row r="1" spans="1:6" s="2" customFormat="1">
      <c r="A1" s="113" t="s">
        <v>2599</v>
      </c>
      <c r="B1" s="113" t="s">
        <v>2183</v>
      </c>
      <c r="C1" s="113" t="s">
        <v>2600</v>
      </c>
      <c r="D1" s="113" t="s">
        <v>2601</v>
      </c>
      <c r="E1" s="113" t="s">
        <v>2602</v>
      </c>
      <c r="F1" s="113" t="s">
        <v>4</v>
      </c>
    </row>
    <row r="2" spans="1:6" s="123" customFormat="1" ht="24.75" customHeight="1">
      <c r="A2" s="121" t="s">
        <v>2603</v>
      </c>
      <c r="B2" s="122" t="s">
        <v>2604</v>
      </c>
      <c r="C2" s="122" t="s">
        <v>2605</v>
      </c>
      <c r="D2" s="122" t="s">
        <v>2606</v>
      </c>
      <c r="E2" s="122" t="s">
        <v>2607</v>
      </c>
      <c r="F2" s="122" t="s">
        <v>2090</v>
      </c>
    </row>
    <row r="3" spans="1:6">
      <c r="A3" s="111" t="s">
        <v>2608</v>
      </c>
      <c r="B3" s="111" t="s">
        <v>2609</v>
      </c>
      <c r="C3" s="111" t="s">
        <v>2610</v>
      </c>
      <c r="D3" s="111" t="s">
        <v>2611</v>
      </c>
      <c r="E3" s="111" t="s">
        <v>2612</v>
      </c>
      <c r="F3" s="122" t="s">
        <v>2090</v>
      </c>
    </row>
    <row r="4" spans="1:6">
      <c r="A4" s="111" t="s">
        <v>2613</v>
      </c>
      <c r="B4" s="111" t="s">
        <v>2614</v>
      </c>
      <c r="C4" s="111" t="s">
        <v>2615</v>
      </c>
      <c r="D4" s="111" t="s">
        <v>2615</v>
      </c>
      <c r="E4" s="111" t="s">
        <v>2615</v>
      </c>
      <c r="F4" s="111" t="s">
        <v>2615</v>
      </c>
    </row>
    <row r="5" spans="1:6">
      <c r="A5" s="111" t="s">
        <v>2616</v>
      </c>
      <c r="B5" s="111" t="s">
        <v>2617</v>
      </c>
      <c r="C5" s="111" t="s">
        <v>2618</v>
      </c>
      <c r="D5" s="111" t="s">
        <v>2619</v>
      </c>
      <c r="E5" s="111" t="s">
        <v>2620</v>
      </c>
      <c r="F5" s="111" t="s">
        <v>2621</v>
      </c>
    </row>
    <row r="6" spans="1:6">
      <c r="A6" s="111" t="s">
        <v>2622</v>
      </c>
      <c r="B6" s="111" t="s">
        <v>2623</v>
      </c>
      <c r="C6" s="111" t="s">
        <v>2320</v>
      </c>
      <c r="D6" s="111" t="s">
        <v>2624</v>
      </c>
      <c r="E6" s="111" t="s">
        <v>2625</v>
      </c>
      <c r="F6" s="111" t="s">
        <v>2621</v>
      </c>
    </row>
    <row r="7" spans="1:6">
      <c r="A7" s="111" t="s">
        <v>2626</v>
      </c>
      <c r="B7" s="111" t="s">
        <v>2627</v>
      </c>
      <c r="C7" s="111" t="s">
        <v>2628</v>
      </c>
      <c r="D7" s="111" t="s">
        <v>2629</v>
      </c>
      <c r="E7" s="111" t="s">
        <v>2630</v>
      </c>
      <c r="F7" s="111" t="s">
        <v>2621</v>
      </c>
    </row>
    <row r="8" spans="1:6">
      <c r="A8" s="111" t="s">
        <v>2631</v>
      </c>
      <c r="B8" s="111" t="s">
        <v>2632</v>
      </c>
      <c r="C8" s="111" t="s">
        <v>2633</v>
      </c>
      <c r="D8" s="111" t="s">
        <v>2634</v>
      </c>
      <c r="E8" s="111" t="s">
        <v>2612</v>
      </c>
      <c r="F8" s="111" t="s">
        <v>2090</v>
      </c>
    </row>
    <row r="9" spans="1:6">
      <c r="A9" s="111" t="s">
        <v>2635</v>
      </c>
      <c r="B9" s="111" t="s">
        <v>2636</v>
      </c>
      <c r="C9" s="111" t="s">
        <v>2637</v>
      </c>
      <c r="D9" s="111" t="s">
        <v>2638</v>
      </c>
      <c r="E9" s="111" t="s">
        <v>2639</v>
      </c>
      <c r="F9" s="111" t="s">
        <v>2090</v>
      </c>
    </row>
    <row r="10" spans="1:6">
      <c r="A10" s="111" t="s">
        <v>2640</v>
      </c>
      <c r="B10" s="112">
        <v>45694</v>
      </c>
      <c r="C10" s="111" t="s">
        <v>2641</v>
      </c>
      <c r="D10" s="111" t="s">
        <v>2642</v>
      </c>
      <c r="E10" s="111" t="s">
        <v>2643</v>
      </c>
      <c r="F10" s="111" t="s">
        <v>2621</v>
      </c>
    </row>
    <row r="11" spans="1:6">
      <c r="A11" s="111"/>
      <c r="C11" s="111" t="s">
        <v>2644</v>
      </c>
      <c r="D11" s="111" t="s">
        <v>2645</v>
      </c>
      <c r="E11" s="111" t="s">
        <v>2646</v>
      </c>
      <c r="F11" s="111" t="s">
        <v>2621</v>
      </c>
    </row>
    <row r="12" spans="1:6">
      <c r="B12" s="111"/>
      <c r="C12" s="111"/>
      <c r="D12" t="s">
        <v>2647</v>
      </c>
      <c r="E12" s="111"/>
      <c r="F12" s="111"/>
    </row>
    <row r="13" spans="1:6">
      <c r="D13" t="s">
        <v>2648</v>
      </c>
    </row>
    <row r="14" spans="1:6">
      <c r="D14" t="s">
        <v>2649</v>
      </c>
    </row>
    <row r="15" spans="1:6">
      <c r="D15" t="s">
        <v>2650</v>
      </c>
    </row>
    <row r="16" spans="1:6">
      <c r="D16" t="s">
        <v>2651</v>
      </c>
    </row>
    <row r="19" spans="1:4">
      <c r="C19" s="35" t="s">
        <v>2605</v>
      </c>
      <c r="D19" t="s">
        <v>2652</v>
      </c>
    </row>
    <row r="20" spans="1:4">
      <c r="D20" t="s">
        <v>2653</v>
      </c>
    </row>
    <row r="21" spans="1:4">
      <c r="D21" t="s">
        <v>2654</v>
      </c>
    </row>
    <row r="22" spans="1:4">
      <c r="D22" t="s">
        <v>2655</v>
      </c>
    </row>
    <row r="23" spans="1:4">
      <c r="D23" t="s">
        <v>2656</v>
      </c>
    </row>
    <row r="26" spans="1:4">
      <c r="A26" s="244"/>
    </row>
    <row r="28" spans="1:4" s="2" customFormat="1"/>
    <row r="29" spans="1:4">
      <c r="B29" s="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C8B67-7061-1848-B5FD-BF16ED354DAD}">
  <dimension ref="A1:E29"/>
  <sheetViews>
    <sheetView workbookViewId="0">
      <selection activeCell="C12" sqref="C12"/>
    </sheetView>
  </sheetViews>
  <sheetFormatPr defaultColWidth="11" defaultRowHeight="15.95"/>
  <cols>
    <col min="1" max="1" width="15.625" bestFit="1" customWidth="1"/>
    <col min="2" max="2" width="35.5" bestFit="1" customWidth="1"/>
    <col min="3" max="3" width="34.5" bestFit="1" customWidth="1"/>
    <col min="4" max="4" width="51.875" bestFit="1" customWidth="1"/>
    <col min="5" max="5" width="28.5" bestFit="1" customWidth="1"/>
  </cols>
  <sheetData>
    <row r="1" spans="1:5">
      <c r="A1" s="19" t="s">
        <v>674</v>
      </c>
    </row>
    <row r="4" spans="1:5" s="5" customFormat="1">
      <c r="B4" s="107" t="s">
        <v>2657</v>
      </c>
      <c r="C4" s="107" t="s">
        <v>2658</v>
      </c>
      <c r="D4" s="107" t="s">
        <v>2659</v>
      </c>
      <c r="E4" s="107" t="s">
        <v>2660</v>
      </c>
    </row>
    <row r="5" spans="1:5" s="5" customFormat="1">
      <c r="A5" s="5" t="s">
        <v>2661</v>
      </c>
    </row>
    <row r="6" spans="1:5">
      <c r="A6" s="5" t="s">
        <v>2662</v>
      </c>
      <c r="B6" t="s">
        <v>2663</v>
      </c>
      <c r="C6" t="s">
        <v>2664</v>
      </c>
      <c r="D6" t="s">
        <v>2665</v>
      </c>
    </row>
    <row r="7" spans="1:5">
      <c r="A7" s="5" t="s">
        <v>2666</v>
      </c>
      <c r="B7" t="s">
        <v>2667</v>
      </c>
      <c r="C7" t="s">
        <v>2668</v>
      </c>
      <c r="D7" t="s">
        <v>2669</v>
      </c>
    </row>
    <row r="8" spans="1:5">
      <c r="A8" s="5" t="s">
        <v>2670</v>
      </c>
      <c r="B8" t="s">
        <v>2671</v>
      </c>
      <c r="C8" t="s">
        <v>2672</v>
      </c>
      <c r="D8" t="s">
        <v>2673</v>
      </c>
      <c r="E8" t="s">
        <v>2674</v>
      </c>
    </row>
    <row r="9" spans="1:5">
      <c r="A9" s="5" t="s">
        <v>2675</v>
      </c>
      <c r="B9" t="s">
        <v>2676</v>
      </c>
      <c r="C9" t="s">
        <v>2677</v>
      </c>
      <c r="D9" t="s">
        <v>2678</v>
      </c>
      <c r="E9" t="s">
        <v>2679</v>
      </c>
    </row>
    <row r="10" spans="1:5">
      <c r="A10" s="5" t="s">
        <v>2680</v>
      </c>
      <c r="B10" t="s">
        <v>2681</v>
      </c>
      <c r="C10" t="s">
        <v>2682</v>
      </c>
      <c r="D10" t="s">
        <v>2683</v>
      </c>
      <c r="E10" t="s">
        <v>2684</v>
      </c>
    </row>
    <row r="11" spans="1:5">
      <c r="A11" s="5" t="s">
        <v>2685</v>
      </c>
      <c r="B11" t="s">
        <v>2686</v>
      </c>
      <c r="D11" t="s">
        <v>2687</v>
      </c>
      <c r="E11" t="s">
        <v>2688</v>
      </c>
    </row>
    <row r="12" spans="1:5">
      <c r="A12" s="5" t="s">
        <v>2689</v>
      </c>
      <c r="B12" t="s">
        <v>2690</v>
      </c>
      <c r="C12" t="s">
        <v>2691</v>
      </c>
      <c r="D12" t="s">
        <v>2692</v>
      </c>
    </row>
    <row r="13" spans="1:5">
      <c r="A13" s="5" t="s">
        <v>2693</v>
      </c>
      <c r="B13" t="s">
        <v>2694</v>
      </c>
      <c r="C13" t="s">
        <v>2695</v>
      </c>
      <c r="D13" t="s">
        <v>2696</v>
      </c>
    </row>
    <row r="14" spans="1:5">
      <c r="A14" s="5" t="s">
        <v>2697</v>
      </c>
      <c r="B14" t="s">
        <v>2698</v>
      </c>
      <c r="D14" t="s">
        <v>2699</v>
      </c>
      <c r="E14" t="s">
        <v>2700</v>
      </c>
    </row>
    <row r="15" spans="1:5">
      <c r="A15" s="5" t="s">
        <v>2545</v>
      </c>
      <c r="B15" t="s">
        <v>2701</v>
      </c>
      <c r="C15" t="s">
        <v>2702</v>
      </c>
      <c r="D15" t="s">
        <v>2703</v>
      </c>
    </row>
    <row r="16" spans="1:5">
      <c r="A16" s="5" t="s">
        <v>2704</v>
      </c>
      <c r="B16" t="s">
        <v>2705</v>
      </c>
      <c r="C16" t="s">
        <v>2705</v>
      </c>
      <c r="D16" t="s">
        <v>2706</v>
      </c>
      <c r="E16" t="s">
        <v>2707</v>
      </c>
    </row>
    <row r="17" spans="1:5">
      <c r="A17" s="5" t="s">
        <v>2708</v>
      </c>
      <c r="B17" t="s">
        <v>2709</v>
      </c>
      <c r="C17" t="s">
        <v>2710</v>
      </c>
      <c r="D17" t="s">
        <v>2711</v>
      </c>
    </row>
    <row r="18" spans="1:5">
      <c r="A18" s="5" t="s">
        <v>2712</v>
      </c>
      <c r="B18" s="328">
        <v>2</v>
      </c>
      <c r="C18" s="328">
        <v>4</v>
      </c>
      <c r="D18" s="328">
        <v>6</v>
      </c>
      <c r="E18" s="328" t="s">
        <v>2713</v>
      </c>
    </row>
    <row r="19" spans="1:5">
      <c r="A19" s="5"/>
    </row>
    <row r="21" spans="1:5">
      <c r="A21" s="5"/>
    </row>
    <row r="22" spans="1:5">
      <c r="A22" s="5"/>
    </row>
    <row r="24" spans="1:5">
      <c r="A24" t="s">
        <v>1900</v>
      </c>
      <c r="B24" s="106">
        <v>20000</v>
      </c>
    </row>
    <row r="27" spans="1:5">
      <c r="C27" t="s">
        <v>2670</v>
      </c>
      <c r="D27" t="s">
        <v>2714</v>
      </c>
    </row>
    <row r="28" spans="1:5">
      <c r="C28" t="s">
        <v>2680</v>
      </c>
      <c r="D28" t="s">
        <v>2693</v>
      </c>
    </row>
    <row r="29" spans="1:5">
      <c r="D29" t="s">
        <v>2715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ED850-9590-5443-94C6-744E5429878C}">
  <dimension ref="A1:F98"/>
  <sheetViews>
    <sheetView topLeftCell="A2" workbookViewId="0">
      <selection activeCell="A2" sqref="A2"/>
    </sheetView>
  </sheetViews>
  <sheetFormatPr defaultColWidth="11" defaultRowHeight="15.95"/>
  <cols>
    <col min="1" max="1" width="35.125" bestFit="1" customWidth="1"/>
    <col min="2" max="2" width="9.5" bestFit="1" customWidth="1"/>
    <col min="3" max="3" width="21.625" bestFit="1" customWidth="1"/>
    <col min="4" max="4" width="25" customWidth="1"/>
    <col min="5" max="5" width="25.625" customWidth="1"/>
    <col min="6" max="6" width="22" bestFit="1" customWidth="1"/>
  </cols>
  <sheetData>
    <row r="1" spans="1:6" ht="18">
      <c r="A1" s="53" t="s">
        <v>2716</v>
      </c>
      <c r="B1" s="54"/>
      <c r="C1" s="54"/>
      <c r="D1" s="54" t="s">
        <v>2717</v>
      </c>
      <c r="E1" s="54" t="s">
        <v>2718</v>
      </c>
      <c r="F1" s="54" t="s">
        <v>2719</v>
      </c>
    </row>
    <row r="2" spans="1:6">
      <c r="A2" s="56" t="s">
        <v>2720</v>
      </c>
      <c r="B2" s="57" t="s">
        <v>2721</v>
      </c>
      <c r="C2" s="55"/>
    </row>
    <row r="3" spans="1:6">
      <c r="A3" s="56" t="s">
        <v>2722</v>
      </c>
      <c r="B3" s="57" t="s">
        <v>2721</v>
      </c>
      <c r="C3" s="55"/>
    </row>
    <row r="4" spans="1:6">
      <c r="A4" s="56" t="s">
        <v>2723</v>
      </c>
      <c r="B4" s="57" t="s">
        <v>2721</v>
      </c>
      <c r="C4" s="55"/>
    </row>
    <row r="5" spans="1:6">
      <c r="A5" s="56" t="s">
        <v>2724</v>
      </c>
      <c r="B5" s="57" t="s">
        <v>2721</v>
      </c>
      <c r="C5" s="55"/>
    </row>
    <row r="6" spans="1:6">
      <c r="A6" s="56" t="s">
        <v>2725</v>
      </c>
      <c r="B6" s="57" t="s">
        <v>2721</v>
      </c>
      <c r="C6" s="55"/>
    </row>
    <row r="7" spans="1:6">
      <c r="A7" s="56" t="s">
        <v>2726</v>
      </c>
      <c r="B7" s="57" t="s">
        <v>2721</v>
      </c>
      <c r="C7" s="55"/>
    </row>
    <row r="8" spans="1:6">
      <c r="A8" s="56" t="s">
        <v>2727</v>
      </c>
      <c r="B8" s="57" t="s">
        <v>2721</v>
      </c>
      <c r="C8" s="55"/>
    </row>
    <row r="9" spans="1:6">
      <c r="A9" s="56" t="s">
        <v>2728</v>
      </c>
      <c r="B9" s="58" t="s">
        <v>2729</v>
      </c>
      <c r="C9" s="55" t="s">
        <v>2730</v>
      </c>
    </row>
    <row r="10" spans="1:6">
      <c r="A10" s="56" t="s">
        <v>2731</v>
      </c>
      <c r="B10" s="58" t="s">
        <v>2729</v>
      </c>
      <c r="C10" s="55" t="s">
        <v>2732</v>
      </c>
    </row>
    <row r="11" spans="1:6">
      <c r="A11" s="56" t="s">
        <v>2733</v>
      </c>
      <c r="B11" s="57" t="s">
        <v>2721</v>
      </c>
      <c r="C11" s="55"/>
    </row>
    <row r="12" spans="1:6">
      <c r="A12" s="56" t="s">
        <v>2734</v>
      </c>
      <c r="B12" s="57" t="s">
        <v>2721</v>
      </c>
      <c r="C12" s="55"/>
    </row>
    <row r="13" spans="1:6">
      <c r="A13" s="56" t="s">
        <v>2735</v>
      </c>
      <c r="B13" s="58" t="s">
        <v>2736</v>
      </c>
      <c r="C13" s="55" t="s">
        <v>2737</v>
      </c>
    </row>
    <row r="14" spans="1:6">
      <c r="A14" s="56" t="s">
        <v>2738</v>
      </c>
      <c r="B14" s="57" t="s">
        <v>2721</v>
      </c>
      <c r="C14" s="55"/>
    </row>
    <row r="15" spans="1:6">
      <c r="A15" s="56" t="s">
        <v>2739</v>
      </c>
      <c r="B15" s="58" t="s">
        <v>2736</v>
      </c>
      <c r="C15" s="55" t="s">
        <v>2740</v>
      </c>
    </row>
    <row r="16" spans="1:6">
      <c r="A16" s="56" t="s">
        <v>2741</v>
      </c>
      <c r="B16" s="58" t="s">
        <v>2729</v>
      </c>
      <c r="C16" s="55" t="s">
        <v>2742</v>
      </c>
    </row>
    <row r="17" spans="1:3">
      <c r="A17" s="56" t="s">
        <v>2743</v>
      </c>
      <c r="B17" s="57" t="s">
        <v>2721</v>
      </c>
      <c r="C17" s="55"/>
    </row>
    <row r="18" spans="1:3">
      <c r="A18" s="56" t="s">
        <v>2744</v>
      </c>
      <c r="B18" s="58" t="s">
        <v>2745</v>
      </c>
      <c r="C18" s="55" t="s">
        <v>2746</v>
      </c>
    </row>
    <row r="19" spans="1:3">
      <c r="A19" s="56" t="s">
        <v>2747</v>
      </c>
      <c r="B19" s="59" t="s">
        <v>2721</v>
      </c>
      <c r="C19" s="55"/>
    </row>
    <row r="20" spans="1:3">
      <c r="A20" s="56" t="s">
        <v>2748</v>
      </c>
      <c r="B20" s="58" t="s">
        <v>2745</v>
      </c>
      <c r="C20" s="55" t="s">
        <v>2746</v>
      </c>
    </row>
    <row r="21" spans="1:3">
      <c r="A21" s="56" t="s">
        <v>2749</v>
      </c>
      <c r="B21" s="58" t="s">
        <v>2736</v>
      </c>
      <c r="C21" s="55" t="s">
        <v>2750</v>
      </c>
    </row>
    <row r="22" spans="1:3">
      <c r="A22" s="56" t="s">
        <v>2751</v>
      </c>
      <c r="B22" s="59" t="s">
        <v>2721</v>
      </c>
      <c r="C22" s="55"/>
    </row>
    <row r="23" spans="1:3">
      <c r="A23" s="56" t="s">
        <v>2752</v>
      </c>
      <c r="B23" s="59" t="s">
        <v>2721</v>
      </c>
      <c r="C23" s="55"/>
    </row>
    <row r="24" spans="1:3">
      <c r="A24" s="56" t="s">
        <v>2753</v>
      </c>
      <c r="B24" s="59" t="s">
        <v>2721</v>
      </c>
      <c r="C24" s="55"/>
    </row>
    <row r="25" spans="1:3">
      <c r="A25" s="56" t="s">
        <v>2754</v>
      </c>
      <c r="B25" s="57" t="s">
        <v>2721</v>
      </c>
      <c r="C25" s="55"/>
    </row>
    <row r="26" spans="1:3">
      <c r="A26" s="56" t="s">
        <v>2755</v>
      </c>
      <c r="B26" s="58" t="s">
        <v>2729</v>
      </c>
      <c r="C26" s="55" t="s">
        <v>2730</v>
      </c>
    </row>
    <row r="27" spans="1:3">
      <c r="A27" s="56" t="s">
        <v>2756</v>
      </c>
      <c r="B27" s="57" t="s">
        <v>2721</v>
      </c>
      <c r="C27" s="55"/>
    </row>
    <row r="28" spans="1:3">
      <c r="A28" s="56" t="s">
        <v>2757</v>
      </c>
      <c r="B28" s="57" t="s">
        <v>2721</v>
      </c>
      <c r="C28" s="55"/>
    </row>
    <row r="29" spans="1:3">
      <c r="A29" s="56" t="s">
        <v>2758</v>
      </c>
      <c r="B29" s="59" t="s">
        <v>2721</v>
      </c>
      <c r="C29" s="55"/>
    </row>
    <row r="30" spans="1:3">
      <c r="A30" s="56" t="s">
        <v>2759</v>
      </c>
      <c r="B30" s="59" t="s">
        <v>2721</v>
      </c>
      <c r="C30" s="55"/>
    </row>
    <row r="31" spans="1:3">
      <c r="A31" s="56" t="s">
        <v>2760</v>
      </c>
      <c r="B31" s="59" t="s">
        <v>2721</v>
      </c>
      <c r="C31" s="55"/>
    </row>
    <row r="32" spans="1:3">
      <c r="A32" s="56" t="s">
        <v>2761</v>
      </c>
      <c r="B32" s="59" t="s">
        <v>2721</v>
      </c>
      <c r="C32" s="55"/>
    </row>
    <row r="33" spans="1:3">
      <c r="A33" s="56" t="s">
        <v>2762</v>
      </c>
      <c r="B33" s="57" t="s">
        <v>2721</v>
      </c>
      <c r="C33" s="55"/>
    </row>
    <row r="34" spans="1:3">
      <c r="A34" s="56" t="s">
        <v>2763</v>
      </c>
      <c r="B34" s="58" t="s">
        <v>2745</v>
      </c>
      <c r="C34" s="55" t="s">
        <v>2746</v>
      </c>
    </row>
    <row r="35" spans="1:3">
      <c r="A35" s="56" t="s">
        <v>2764</v>
      </c>
      <c r="B35" s="58" t="s">
        <v>2729</v>
      </c>
      <c r="C35" s="55" t="s">
        <v>2765</v>
      </c>
    </row>
    <row r="36" spans="1:3">
      <c r="A36" s="56" t="s">
        <v>2766</v>
      </c>
      <c r="B36" s="57" t="s">
        <v>2721</v>
      </c>
      <c r="C36" s="55"/>
    </row>
    <row r="37" spans="1:3">
      <c r="A37" s="56" t="s">
        <v>2767</v>
      </c>
      <c r="B37" s="58" t="s">
        <v>2745</v>
      </c>
      <c r="C37" s="55" t="s">
        <v>2746</v>
      </c>
    </row>
    <row r="38" spans="1:3">
      <c r="A38" s="56" t="s">
        <v>2768</v>
      </c>
      <c r="B38" s="58" t="s">
        <v>2736</v>
      </c>
      <c r="C38" s="55" t="s">
        <v>2769</v>
      </c>
    </row>
    <row r="39" spans="1:3">
      <c r="A39" s="56" t="s">
        <v>2770</v>
      </c>
      <c r="B39" s="58" t="s">
        <v>2736</v>
      </c>
      <c r="C39" s="55" t="s">
        <v>2771</v>
      </c>
    </row>
    <row r="40" spans="1:3">
      <c r="A40" s="56" t="s">
        <v>2772</v>
      </c>
      <c r="B40" s="57" t="s">
        <v>2721</v>
      </c>
      <c r="C40" s="55"/>
    </row>
    <row r="41" spans="1:3">
      <c r="A41" s="56" t="s">
        <v>2773</v>
      </c>
      <c r="B41" s="55" t="s">
        <v>2736</v>
      </c>
      <c r="C41" s="55" t="s">
        <v>2774</v>
      </c>
    </row>
    <row r="42" spans="1:3">
      <c r="A42" s="56" t="s">
        <v>2775</v>
      </c>
      <c r="B42" s="57" t="s">
        <v>2721</v>
      </c>
      <c r="C42" s="55"/>
    </row>
    <row r="43" spans="1:3">
      <c r="A43" s="56" t="s">
        <v>2776</v>
      </c>
      <c r="B43" s="59" t="s">
        <v>2721</v>
      </c>
      <c r="C43" s="55"/>
    </row>
    <row r="44" spans="1:3">
      <c r="A44" s="56" t="s">
        <v>2777</v>
      </c>
      <c r="B44" s="57" t="s">
        <v>2721</v>
      </c>
      <c r="C44" s="55"/>
    </row>
    <row r="45" spans="1:3">
      <c r="A45" s="56" t="s">
        <v>2778</v>
      </c>
      <c r="B45" s="58" t="s">
        <v>2736</v>
      </c>
      <c r="C45" s="55" t="s">
        <v>2779</v>
      </c>
    </row>
    <row r="46" spans="1:3">
      <c r="A46" s="56" t="s">
        <v>2780</v>
      </c>
      <c r="B46" s="57" t="s">
        <v>2721</v>
      </c>
      <c r="C46" s="55"/>
    </row>
    <row r="47" spans="1:3">
      <c r="A47" s="56" t="s">
        <v>2781</v>
      </c>
      <c r="B47" s="59" t="s">
        <v>2721</v>
      </c>
      <c r="C47" s="55"/>
    </row>
    <row r="48" spans="1:3">
      <c r="A48" s="56" t="s">
        <v>2782</v>
      </c>
      <c r="B48" s="59" t="s">
        <v>2721</v>
      </c>
      <c r="C48" s="55"/>
    </row>
    <row r="49" spans="1:3">
      <c r="A49" s="56" t="s">
        <v>2783</v>
      </c>
      <c r="B49" s="58" t="s">
        <v>2736</v>
      </c>
      <c r="C49" s="55" t="s">
        <v>2784</v>
      </c>
    </row>
    <row r="50" spans="1:3">
      <c r="A50" s="56" t="s">
        <v>2785</v>
      </c>
      <c r="B50" s="59" t="s">
        <v>2721</v>
      </c>
      <c r="C50" s="55"/>
    </row>
    <row r="51" spans="1:3">
      <c r="A51" s="56" t="s">
        <v>2786</v>
      </c>
      <c r="B51" s="59" t="s">
        <v>2721</v>
      </c>
      <c r="C51" s="55"/>
    </row>
    <row r="52" spans="1:3">
      <c r="A52" s="56" t="s">
        <v>2787</v>
      </c>
      <c r="B52" s="58" t="s">
        <v>2788</v>
      </c>
      <c r="C52" s="55" t="s">
        <v>2789</v>
      </c>
    </row>
    <row r="53" spans="1:3">
      <c r="A53" s="56" t="s">
        <v>2790</v>
      </c>
      <c r="B53" s="59" t="s">
        <v>2721</v>
      </c>
      <c r="C53" s="55"/>
    </row>
    <row r="54" spans="1:3">
      <c r="A54" s="56" t="s">
        <v>2791</v>
      </c>
      <c r="B54" s="59" t="s">
        <v>2721</v>
      </c>
      <c r="C54" s="55"/>
    </row>
    <row r="55" spans="1:3">
      <c r="A55" s="56" t="s">
        <v>2792</v>
      </c>
      <c r="B55" s="59" t="s">
        <v>2721</v>
      </c>
      <c r="C55" s="55"/>
    </row>
    <row r="56" spans="1:3">
      <c r="A56" s="56" t="s">
        <v>2793</v>
      </c>
      <c r="B56" s="59" t="s">
        <v>2721</v>
      </c>
      <c r="C56" s="55"/>
    </row>
    <row r="57" spans="1:3">
      <c r="A57" s="56" t="s">
        <v>2794</v>
      </c>
      <c r="B57" s="58" t="s">
        <v>2736</v>
      </c>
      <c r="C57" s="55" t="s">
        <v>2795</v>
      </c>
    </row>
    <row r="58" spans="1:3">
      <c r="A58" s="56" t="s">
        <v>2796</v>
      </c>
      <c r="B58" s="59" t="s">
        <v>2721</v>
      </c>
      <c r="C58" s="55"/>
    </row>
    <row r="59" spans="1:3">
      <c r="A59" s="56" t="s">
        <v>2797</v>
      </c>
      <c r="B59" s="58" t="s">
        <v>2745</v>
      </c>
      <c r="C59" s="55" t="s">
        <v>2746</v>
      </c>
    </row>
    <row r="60" spans="1:3">
      <c r="A60" s="56" t="s">
        <v>2798</v>
      </c>
      <c r="B60" s="58" t="s">
        <v>2788</v>
      </c>
      <c r="C60" s="55" t="s">
        <v>2799</v>
      </c>
    </row>
    <row r="61" spans="1:3">
      <c r="A61" s="56" t="s">
        <v>2800</v>
      </c>
      <c r="B61" s="59" t="s">
        <v>2721</v>
      </c>
      <c r="C61" s="55"/>
    </row>
    <row r="62" spans="1:3">
      <c r="A62" s="56" t="s">
        <v>2801</v>
      </c>
      <c r="B62" s="59" t="s">
        <v>2721</v>
      </c>
      <c r="C62" s="55"/>
    </row>
    <row r="63" spans="1:3">
      <c r="A63" s="56" t="s">
        <v>2802</v>
      </c>
      <c r="B63" s="58" t="s">
        <v>2788</v>
      </c>
      <c r="C63" s="55" t="s">
        <v>2803</v>
      </c>
    </row>
    <row r="64" spans="1:3">
      <c r="A64" s="56" t="s">
        <v>2804</v>
      </c>
      <c r="B64" s="58" t="s">
        <v>2729</v>
      </c>
      <c r="C64" s="55" t="s">
        <v>2765</v>
      </c>
    </row>
    <row r="65" spans="1:3">
      <c r="A65" s="56" t="s">
        <v>2805</v>
      </c>
      <c r="B65" s="58" t="s">
        <v>2788</v>
      </c>
      <c r="C65" s="55" t="s">
        <v>2806</v>
      </c>
    </row>
    <row r="66" spans="1:3">
      <c r="A66" s="56" t="s">
        <v>2807</v>
      </c>
      <c r="B66" s="58" t="s">
        <v>2788</v>
      </c>
      <c r="C66" s="55" t="s">
        <v>2808</v>
      </c>
    </row>
    <row r="67" spans="1:3">
      <c r="A67" s="56" t="s">
        <v>2809</v>
      </c>
      <c r="B67" s="58" t="s">
        <v>2788</v>
      </c>
      <c r="C67" s="55" t="s">
        <v>2810</v>
      </c>
    </row>
    <row r="68" spans="1:3">
      <c r="A68" s="56" t="s">
        <v>2811</v>
      </c>
      <c r="B68" s="59" t="s">
        <v>2721</v>
      </c>
      <c r="C68" s="55"/>
    </row>
    <row r="69" spans="1:3">
      <c r="A69" s="56" t="s">
        <v>2812</v>
      </c>
      <c r="B69" s="58" t="s">
        <v>2788</v>
      </c>
      <c r="C69" s="55" t="s">
        <v>2813</v>
      </c>
    </row>
    <row r="70" spans="1:3">
      <c r="A70" s="56" t="s">
        <v>2814</v>
      </c>
      <c r="B70" s="58" t="s">
        <v>2788</v>
      </c>
      <c r="C70" s="55" t="s">
        <v>2815</v>
      </c>
    </row>
    <row r="71" spans="1:3">
      <c r="A71" s="56" t="s">
        <v>2816</v>
      </c>
      <c r="B71" s="58" t="s">
        <v>2729</v>
      </c>
      <c r="C71" s="55" t="s">
        <v>2730</v>
      </c>
    </row>
    <row r="72" spans="1:3">
      <c r="A72" s="56" t="s">
        <v>2817</v>
      </c>
      <c r="B72" s="58" t="s">
        <v>2729</v>
      </c>
      <c r="C72" s="55" t="s">
        <v>2730</v>
      </c>
    </row>
    <row r="73" spans="1:3">
      <c r="A73" s="56" t="s">
        <v>2818</v>
      </c>
      <c r="B73" s="57" t="s">
        <v>2721</v>
      </c>
      <c r="C73" s="55"/>
    </row>
    <row r="74" spans="1:3">
      <c r="A74" s="56" t="s">
        <v>2819</v>
      </c>
      <c r="B74" s="58" t="s">
        <v>2788</v>
      </c>
      <c r="C74" s="55" t="s">
        <v>2820</v>
      </c>
    </row>
    <row r="75" spans="1:3">
      <c r="A75" s="56" t="s">
        <v>2821</v>
      </c>
      <c r="B75" s="59" t="s">
        <v>2721</v>
      </c>
      <c r="C75" s="55"/>
    </row>
    <row r="76" spans="1:3">
      <c r="A76" s="56" t="s">
        <v>2822</v>
      </c>
      <c r="B76" s="58" t="s">
        <v>2788</v>
      </c>
      <c r="C76" s="55" t="s">
        <v>2823</v>
      </c>
    </row>
    <row r="77" spans="1:3">
      <c r="A77" s="56" t="s">
        <v>2824</v>
      </c>
      <c r="B77" s="59" t="s">
        <v>2721</v>
      </c>
      <c r="C77" s="55"/>
    </row>
    <row r="78" spans="1:3">
      <c r="A78" s="56" t="s">
        <v>2825</v>
      </c>
      <c r="B78" s="59" t="s">
        <v>2721</v>
      </c>
      <c r="C78" s="55"/>
    </row>
    <row r="79" spans="1:3">
      <c r="A79" s="56" t="s">
        <v>2826</v>
      </c>
      <c r="B79" s="59" t="s">
        <v>2721</v>
      </c>
      <c r="C79" s="55"/>
    </row>
    <row r="80" spans="1:3">
      <c r="A80" s="56" t="s">
        <v>2827</v>
      </c>
      <c r="B80" s="59" t="s">
        <v>2721</v>
      </c>
      <c r="C80" s="55"/>
    </row>
    <row r="81" spans="1:3">
      <c r="A81" s="56" t="s">
        <v>2828</v>
      </c>
      <c r="B81" s="59" t="s">
        <v>2721</v>
      </c>
      <c r="C81" s="55"/>
    </row>
    <row r="82" spans="1:3">
      <c r="A82" s="56" t="s">
        <v>2829</v>
      </c>
      <c r="B82" s="58" t="s">
        <v>2788</v>
      </c>
      <c r="C82" s="55" t="s">
        <v>2830</v>
      </c>
    </row>
    <row r="83" spans="1:3">
      <c r="A83" s="56" t="s">
        <v>2831</v>
      </c>
      <c r="B83" s="59" t="s">
        <v>2721</v>
      </c>
      <c r="C83" s="55"/>
    </row>
    <row r="84" spans="1:3">
      <c r="A84" s="56" t="s">
        <v>2832</v>
      </c>
      <c r="B84" s="58" t="s">
        <v>2736</v>
      </c>
      <c r="C84" s="55" t="s">
        <v>2833</v>
      </c>
    </row>
    <row r="85" spans="1:3">
      <c r="A85" s="56" t="s">
        <v>2834</v>
      </c>
      <c r="B85" s="59" t="s">
        <v>2721</v>
      </c>
      <c r="C85" s="55"/>
    </row>
    <row r="86" spans="1:3">
      <c r="A86" s="56" t="s">
        <v>2835</v>
      </c>
      <c r="B86" s="58" t="s">
        <v>2788</v>
      </c>
      <c r="C86" s="55" t="s">
        <v>2836</v>
      </c>
    </row>
    <row r="87" spans="1:3">
      <c r="A87" s="56" t="s">
        <v>2837</v>
      </c>
      <c r="B87" s="59" t="s">
        <v>2721</v>
      </c>
      <c r="C87" s="55"/>
    </row>
    <row r="88" spans="1:3">
      <c r="A88" s="56" t="s">
        <v>2838</v>
      </c>
      <c r="B88" s="59" t="s">
        <v>2721</v>
      </c>
      <c r="C88" s="55"/>
    </row>
    <row r="89" spans="1:3">
      <c r="A89" s="56" t="s">
        <v>2839</v>
      </c>
      <c r="B89" s="59" t="s">
        <v>2721</v>
      </c>
      <c r="C89" s="55"/>
    </row>
    <row r="90" spans="1:3">
      <c r="A90" s="56" t="s">
        <v>2840</v>
      </c>
      <c r="B90" s="59" t="s">
        <v>2721</v>
      </c>
      <c r="C90" s="55"/>
    </row>
    <row r="91" spans="1:3">
      <c r="A91" s="56" t="s">
        <v>2841</v>
      </c>
      <c r="B91" s="59" t="s">
        <v>2721</v>
      </c>
      <c r="C91" s="55"/>
    </row>
    <row r="92" spans="1:3">
      <c r="A92" s="56" t="s">
        <v>2842</v>
      </c>
      <c r="B92" s="59" t="s">
        <v>2721</v>
      </c>
      <c r="C92" s="55"/>
    </row>
    <row r="93" spans="1:3">
      <c r="A93" s="56" t="s">
        <v>2843</v>
      </c>
      <c r="B93" s="59" t="s">
        <v>2721</v>
      </c>
      <c r="C93" s="55"/>
    </row>
    <row r="94" spans="1:3">
      <c r="A94" s="56" t="s">
        <v>2844</v>
      </c>
      <c r="B94" s="59" t="s">
        <v>2721</v>
      </c>
      <c r="C94" s="55"/>
    </row>
    <row r="95" spans="1:3">
      <c r="A95" s="56" t="s">
        <v>2845</v>
      </c>
      <c r="B95" s="59" t="s">
        <v>2721</v>
      </c>
      <c r="C95" s="55"/>
    </row>
    <row r="96" spans="1:3">
      <c r="A96" s="56" t="s">
        <v>2846</v>
      </c>
      <c r="B96" s="59" t="s">
        <v>2721</v>
      </c>
      <c r="C96" s="55"/>
    </row>
    <row r="97" spans="1:3">
      <c r="A97" s="56" t="s">
        <v>2847</v>
      </c>
      <c r="B97" s="58" t="s">
        <v>2729</v>
      </c>
      <c r="C97" s="55" t="s">
        <v>2730</v>
      </c>
    </row>
    <row r="98" spans="1:3">
      <c r="A98" s="60" t="s">
        <v>2848</v>
      </c>
      <c r="B98" s="59" t="s">
        <v>2721</v>
      </c>
      <c r="C98" s="55"/>
    </row>
  </sheetData>
  <autoFilter ref="A2:F2" xr:uid="{CA2ED850-9590-5443-94C6-744E5429878C}"/>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71E16-BAB6-1F4E-8327-4F251DEC3D15}">
  <dimension ref="A2:B6"/>
  <sheetViews>
    <sheetView zoomScale="273" workbookViewId="0">
      <selection activeCell="B2" sqref="B2"/>
    </sheetView>
  </sheetViews>
  <sheetFormatPr defaultColWidth="11" defaultRowHeight="15.95"/>
  <cols>
    <col min="2" max="2" width="48" bestFit="1" customWidth="1"/>
  </cols>
  <sheetData>
    <row r="2" spans="1:2">
      <c r="A2" t="s">
        <v>2849</v>
      </c>
      <c r="B2" t="s">
        <v>2850</v>
      </c>
    </row>
    <row r="3" spans="1:2">
      <c r="A3" t="s">
        <v>2851</v>
      </c>
      <c r="B3" t="s">
        <v>2852</v>
      </c>
    </row>
    <row r="4" spans="1:2">
      <c r="A4" t="s">
        <v>2853</v>
      </c>
      <c r="B4" t="s">
        <v>2854</v>
      </c>
    </row>
    <row r="5" spans="1:2">
      <c r="A5" t="s">
        <v>2855</v>
      </c>
      <c r="B5" t="s">
        <v>2856</v>
      </c>
    </row>
    <row r="6" spans="1:2">
      <c r="A6" t="s">
        <v>2857</v>
      </c>
      <c r="B6" t="s">
        <v>2858</v>
      </c>
    </row>
  </sheetData>
  <phoneticPr fontId="15"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87DED-4B5E-D247-84E5-F526A366A1DA}">
  <dimension ref="A1:F22"/>
  <sheetViews>
    <sheetView workbookViewId="0">
      <selection activeCell="F28" sqref="F28"/>
    </sheetView>
  </sheetViews>
  <sheetFormatPr defaultColWidth="11" defaultRowHeight="15.95"/>
  <cols>
    <col min="1" max="1" width="11.875" bestFit="1" customWidth="1"/>
    <col min="2" max="2" width="27.625" bestFit="1" customWidth="1"/>
    <col min="4" max="4" width="12" bestFit="1" customWidth="1"/>
    <col min="5" max="5" width="19.375" bestFit="1" customWidth="1"/>
    <col min="6" max="6" width="50.5" style="4" customWidth="1"/>
  </cols>
  <sheetData>
    <row r="1" spans="1:6">
      <c r="A1" s="21" t="s">
        <v>2859</v>
      </c>
      <c r="B1" s="348" t="s">
        <v>2860</v>
      </c>
      <c r="C1" s="349"/>
      <c r="D1" s="349"/>
      <c r="E1" s="349"/>
      <c r="F1" s="350"/>
    </row>
    <row r="2" spans="1:6">
      <c r="A2" s="37"/>
      <c r="B2" s="37"/>
      <c r="C2" s="37"/>
      <c r="D2" s="37"/>
      <c r="E2" s="37"/>
      <c r="F2" s="38"/>
    </row>
    <row r="3" spans="1:6">
      <c r="A3" s="21" t="s">
        <v>2861</v>
      </c>
      <c r="B3" s="39">
        <v>45596</v>
      </c>
      <c r="C3" s="37"/>
      <c r="D3" s="21" t="s">
        <v>2862</v>
      </c>
      <c r="E3" s="39">
        <f>B3+14</f>
        <v>45610</v>
      </c>
      <c r="F3" s="38"/>
    </row>
    <row r="4" spans="1:6">
      <c r="A4" s="37"/>
      <c r="B4" s="37"/>
      <c r="C4" s="37"/>
      <c r="D4" s="37"/>
      <c r="E4" s="37"/>
      <c r="F4" s="38"/>
    </row>
    <row r="5" spans="1:6" s="5" customFormat="1" ht="17.100000000000001">
      <c r="A5" s="21" t="s">
        <v>2863</v>
      </c>
      <c r="B5" s="21" t="s">
        <v>2864</v>
      </c>
      <c r="C5" s="21" t="s">
        <v>5</v>
      </c>
      <c r="D5" s="21" t="s">
        <v>4</v>
      </c>
      <c r="E5" s="21" t="s">
        <v>2865</v>
      </c>
      <c r="F5" s="40" t="s">
        <v>2023</v>
      </c>
    </row>
    <row r="6" spans="1:6" ht="17.100000000000001">
      <c r="A6" s="41">
        <v>1</v>
      </c>
      <c r="B6" s="37" t="s">
        <v>2866</v>
      </c>
      <c r="C6" s="42" t="s">
        <v>2867</v>
      </c>
      <c r="D6" s="37" t="s">
        <v>2090</v>
      </c>
      <c r="E6" s="37" t="s">
        <v>2090</v>
      </c>
      <c r="F6" s="38" t="s">
        <v>2868</v>
      </c>
    </row>
    <row r="7" spans="1:6" ht="33.950000000000003">
      <c r="A7" s="41">
        <v>2</v>
      </c>
      <c r="B7" s="37" t="s">
        <v>2869</v>
      </c>
      <c r="C7" s="42" t="s">
        <v>2867</v>
      </c>
      <c r="D7" s="43" t="s">
        <v>2092</v>
      </c>
      <c r="E7" s="37" t="s">
        <v>2870</v>
      </c>
      <c r="F7" s="38" t="s">
        <v>2871</v>
      </c>
    </row>
    <row r="8" spans="1:6">
      <c r="A8" s="41">
        <v>3</v>
      </c>
      <c r="B8" s="37" t="s">
        <v>2872</v>
      </c>
      <c r="C8" s="42" t="s">
        <v>2873</v>
      </c>
      <c r="D8" s="37" t="s">
        <v>2092</v>
      </c>
      <c r="E8" s="39">
        <v>45602</v>
      </c>
      <c r="F8" s="38"/>
    </row>
    <row r="9" spans="1:6">
      <c r="A9" s="41">
        <v>4</v>
      </c>
      <c r="B9" s="37" t="s">
        <v>2874</v>
      </c>
      <c r="C9" s="42" t="s">
        <v>2867</v>
      </c>
      <c r="D9" s="37" t="s">
        <v>2092</v>
      </c>
      <c r="E9" s="39">
        <v>45602</v>
      </c>
      <c r="F9" s="38"/>
    </row>
    <row r="10" spans="1:6">
      <c r="A10" s="41">
        <v>5</v>
      </c>
      <c r="B10" s="37"/>
      <c r="C10" s="42"/>
      <c r="D10" s="37"/>
      <c r="E10" s="37"/>
      <c r="F10" s="38"/>
    </row>
    <row r="11" spans="1:6">
      <c r="A11" s="328"/>
      <c r="C11" s="20"/>
    </row>
    <row r="12" spans="1:6">
      <c r="A12" s="328"/>
      <c r="C12" s="20"/>
    </row>
    <row r="13" spans="1:6">
      <c r="A13" s="328"/>
      <c r="C13" s="20"/>
    </row>
    <row r="14" spans="1:6">
      <c r="A14" s="328"/>
      <c r="C14" s="20"/>
    </row>
    <row r="15" spans="1:6">
      <c r="C15" s="20"/>
    </row>
    <row r="16" spans="1:6">
      <c r="C16" s="20"/>
    </row>
    <row r="17" spans="3:3">
      <c r="C17" s="20"/>
    </row>
    <row r="18" spans="3:3">
      <c r="C18" s="20"/>
    </row>
    <row r="19" spans="3:3">
      <c r="C19" s="20"/>
    </row>
    <row r="20" spans="3:3">
      <c r="C20" s="20"/>
    </row>
    <row r="21" spans="3:3">
      <c r="C21" s="20"/>
    </row>
    <row r="22" spans="3:3">
      <c r="C22" s="20"/>
    </row>
  </sheetData>
  <mergeCells count="1">
    <mergeCell ref="B1:F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268E7-3361-7A45-A229-141B75D3B0CD}">
  <dimension ref="A1:A38"/>
  <sheetViews>
    <sheetView workbookViewId="0">
      <selection activeCell="C8" sqref="C8"/>
    </sheetView>
  </sheetViews>
  <sheetFormatPr defaultColWidth="11" defaultRowHeight="15.95"/>
  <sheetData>
    <row r="1" spans="1:1">
      <c r="A1" t="s">
        <v>2875</v>
      </c>
    </row>
    <row r="2" spans="1:1">
      <c r="A2" t="s">
        <v>2876</v>
      </c>
    </row>
    <row r="3" spans="1:1">
      <c r="A3" t="s">
        <v>2877</v>
      </c>
    </row>
    <row r="4" spans="1:1">
      <c r="A4" t="s">
        <v>2878</v>
      </c>
    </row>
    <row r="5" spans="1:1">
      <c r="A5" t="s">
        <v>2879</v>
      </c>
    </row>
    <row r="7" spans="1:1">
      <c r="A7" t="s">
        <v>2880</v>
      </c>
    </row>
    <row r="8" spans="1:1">
      <c r="A8" t="s">
        <v>2881</v>
      </c>
    </row>
    <row r="9" spans="1:1">
      <c r="A9" t="s">
        <v>2882</v>
      </c>
    </row>
    <row r="11" spans="1:1">
      <c r="A11" t="s">
        <v>2883</v>
      </c>
    </row>
    <row r="12" spans="1:1">
      <c r="A12" t="s">
        <v>2884</v>
      </c>
    </row>
    <row r="14" spans="1:1">
      <c r="A14" t="s">
        <v>2885</v>
      </c>
    </row>
    <row r="15" spans="1:1">
      <c r="A15" t="s">
        <v>2886</v>
      </c>
    </row>
    <row r="16" spans="1:1">
      <c r="A16" t="s">
        <v>2887</v>
      </c>
    </row>
    <row r="17" spans="1:1">
      <c r="A17" t="s">
        <v>2888</v>
      </c>
    </row>
    <row r="19" spans="1:1">
      <c r="A19" t="s">
        <v>2889</v>
      </c>
    </row>
    <row r="20" spans="1:1">
      <c r="A20" t="s">
        <v>2890</v>
      </c>
    </row>
    <row r="22" spans="1:1">
      <c r="A22" t="s">
        <v>2891</v>
      </c>
    </row>
    <row r="23" spans="1:1">
      <c r="A23" t="s">
        <v>2892</v>
      </c>
    </row>
    <row r="24" spans="1:1">
      <c r="A24" t="s">
        <v>2893</v>
      </c>
    </row>
    <row r="25" spans="1:1">
      <c r="A25" t="s">
        <v>2876</v>
      </c>
    </row>
    <row r="26" spans="1:1">
      <c r="A26" t="s">
        <v>2894</v>
      </c>
    </row>
    <row r="27" spans="1:1">
      <c r="A27" t="s">
        <v>2878</v>
      </c>
    </row>
    <row r="28" spans="1:1">
      <c r="A28" t="s">
        <v>2895</v>
      </c>
    </row>
    <row r="30" spans="1:1">
      <c r="A30" t="s">
        <v>2880</v>
      </c>
    </row>
    <row r="31" spans="1:1">
      <c r="A31" t="s">
        <v>2896</v>
      </c>
    </row>
    <row r="32" spans="1:1">
      <c r="A32" t="s">
        <v>2897</v>
      </c>
    </row>
    <row r="34" spans="1:1">
      <c r="A34" t="s">
        <v>2883</v>
      </c>
    </row>
    <row r="35" spans="1:1">
      <c r="A35" t="s">
        <v>2898</v>
      </c>
    </row>
    <row r="37" spans="1:1">
      <c r="A37" t="s">
        <v>2889</v>
      </c>
    </row>
    <row r="38" spans="1:1">
      <c r="A38" t="s">
        <v>2899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99253-BF9C-324F-8E0F-5110CE50322C}">
  <sheetPr filterMode="1"/>
  <dimension ref="A1:H487"/>
  <sheetViews>
    <sheetView workbookViewId="0">
      <pane ySplit="1" topLeftCell="A516" activePane="bottomLeft" state="frozen"/>
      <selection pane="bottomLeft" activeCell="D516" sqref="D516"/>
    </sheetView>
  </sheetViews>
  <sheetFormatPr defaultColWidth="11" defaultRowHeight="15.95"/>
  <cols>
    <col min="1" max="1" width="66.375" bestFit="1" customWidth="1"/>
    <col min="2" max="2" width="7.625" bestFit="1" customWidth="1"/>
    <col min="3" max="3" width="10.5" bestFit="1" customWidth="1"/>
    <col min="4" max="4" width="36.5" bestFit="1" customWidth="1"/>
    <col min="5" max="5" width="10.5" bestFit="1" customWidth="1"/>
    <col min="6" max="6" width="10.5" customWidth="1"/>
    <col min="7" max="7" width="13.125" bestFit="1" customWidth="1"/>
  </cols>
  <sheetData>
    <row r="1" spans="1:8">
      <c r="A1" s="2" t="s">
        <v>2900</v>
      </c>
      <c r="B1" t="s">
        <v>13</v>
      </c>
      <c r="C1" t="s">
        <v>2901</v>
      </c>
      <c r="D1" t="s">
        <v>2902</v>
      </c>
      <c r="E1" t="s">
        <v>2903</v>
      </c>
      <c r="F1" t="s">
        <v>2904</v>
      </c>
      <c r="G1" t="s">
        <v>2905</v>
      </c>
      <c r="H1" t="s">
        <v>2906</v>
      </c>
    </row>
    <row r="2" spans="1:8" hidden="1">
      <c r="A2" t="s">
        <v>2907</v>
      </c>
      <c r="B2" t="s">
        <v>2908</v>
      </c>
      <c r="C2">
        <v>32107</v>
      </c>
      <c r="D2" t="s">
        <v>2909</v>
      </c>
      <c r="E2" t="s">
        <v>2910</v>
      </c>
    </row>
    <row r="3" spans="1:8" hidden="1">
      <c r="A3" t="s">
        <v>2911</v>
      </c>
      <c r="B3" t="s">
        <v>2908</v>
      </c>
      <c r="C3">
        <v>32425</v>
      </c>
      <c r="D3" t="s">
        <v>2912</v>
      </c>
      <c r="E3" t="s">
        <v>2913</v>
      </c>
    </row>
    <row r="4" spans="1:8" hidden="1">
      <c r="A4" t="s">
        <v>2914</v>
      </c>
      <c r="B4" t="s">
        <v>2915</v>
      </c>
      <c r="C4">
        <v>78335</v>
      </c>
      <c r="D4" t="s">
        <v>2916</v>
      </c>
      <c r="E4" t="s">
        <v>2917</v>
      </c>
    </row>
    <row r="5" spans="1:8" hidden="1">
      <c r="A5" t="s">
        <v>2918</v>
      </c>
      <c r="B5" t="s">
        <v>2919</v>
      </c>
      <c r="C5">
        <v>8850</v>
      </c>
      <c r="D5" t="s">
        <v>2920</v>
      </c>
      <c r="E5" t="s">
        <v>2921</v>
      </c>
    </row>
    <row r="6" spans="1:8" hidden="1">
      <c r="A6" t="s">
        <v>2922</v>
      </c>
      <c r="B6" t="s">
        <v>2923</v>
      </c>
      <c r="C6">
        <v>25069</v>
      </c>
      <c r="D6" t="s">
        <v>2924</v>
      </c>
      <c r="E6" t="s">
        <v>2925</v>
      </c>
    </row>
    <row r="7" spans="1:8" hidden="1">
      <c r="A7" t="s">
        <v>2926</v>
      </c>
      <c r="B7" t="s">
        <v>2927</v>
      </c>
      <c r="C7" t="s">
        <v>2928</v>
      </c>
      <c r="D7" t="s">
        <v>2929</v>
      </c>
      <c r="E7" t="s">
        <v>2930</v>
      </c>
    </row>
    <row r="8" spans="1:8" hidden="1">
      <c r="A8" t="s">
        <v>2931</v>
      </c>
      <c r="B8" t="s">
        <v>2932</v>
      </c>
      <c r="C8">
        <v>215600</v>
      </c>
      <c r="D8" t="s">
        <v>2933</v>
      </c>
      <c r="E8" t="s">
        <v>2934</v>
      </c>
      <c r="F8" t="s">
        <v>64</v>
      </c>
    </row>
    <row r="9" spans="1:8" hidden="1">
      <c r="A9" t="s">
        <v>2935</v>
      </c>
      <c r="B9" t="s">
        <v>2923</v>
      </c>
      <c r="C9">
        <v>25070</v>
      </c>
      <c r="D9" t="s">
        <v>2936</v>
      </c>
      <c r="E9" t="s">
        <v>2937</v>
      </c>
    </row>
    <row r="10" spans="1:8" hidden="1">
      <c r="A10" t="s">
        <v>2938</v>
      </c>
      <c r="B10" t="s">
        <v>2908</v>
      </c>
      <c r="C10">
        <v>76275</v>
      </c>
      <c r="D10" t="s">
        <v>2939</v>
      </c>
      <c r="E10" t="s">
        <v>2940</v>
      </c>
    </row>
    <row r="11" spans="1:8" hidden="1">
      <c r="A11" t="s">
        <v>2941</v>
      </c>
      <c r="B11" t="s">
        <v>2923</v>
      </c>
      <c r="C11">
        <v>24060</v>
      </c>
      <c r="D11" t="s">
        <v>2942</v>
      </c>
      <c r="E11" t="s">
        <v>2940</v>
      </c>
    </row>
    <row r="12" spans="1:8" hidden="1">
      <c r="A12" t="s">
        <v>2943</v>
      </c>
      <c r="B12" t="s">
        <v>2908</v>
      </c>
      <c r="C12">
        <v>53547</v>
      </c>
      <c r="D12" t="s">
        <v>2944</v>
      </c>
      <c r="E12" t="s">
        <v>2945</v>
      </c>
    </row>
    <row r="13" spans="1:8" hidden="1">
      <c r="A13" t="s">
        <v>2946</v>
      </c>
      <c r="B13" t="s">
        <v>2908</v>
      </c>
      <c r="C13">
        <v>41066</v>
      </c>
      <c r="D13" t="s">
        <v>2947</v>
      </c>
      <c r="E13" t="s">
        <v>2948</v>
      </c>
    </row>
    <row r="14" spans="1:8">
      <c r="A14" t="s">
        <v>2949</v>
      </c>
      <c r="B14" t="s">
        <v>311</v>
      </c>
      <c r="C14">
        <v>77095</v>
      </c>
      <c r="D14" t="s">
        <v>2950</v>
      </c>
      <c r="E14" t="s">
        <v>2951</v>
      </c>
    </row>
    <row r="15" spans="1:8" hidden="1">
      <c r="A15" t="s">
        <v>2952</v>
      </c>
      <c r="B15" t="s">
        <v>224</v>
      </c>
      <c r="C15" t="s">
        <v>2953</v>
      </c>
      <c r="D15" t="s">
        <v>2954</v>
      </c>
      <c r="E15" t="s">
        <v>2955</v>
      </c>
    </row>
    <row r="16" spans="1:8" hidden="1">
      <c r="A16" t="s">
        <v>2956</v>
      </c>
      <c r="B16" t="s">
        <v>2908</v>
      </c>
      <c r="C16">
        <v>50259</v>
      </c>
      <c r="D16" t="s">
        <v>2957</v>
      </c>
      <c r="E16" t="s">
        <v>2958</v>
      </c>
    </row>
    <row r="17" spans="1:6" hidden="1">
      <c r="A17" t="s">
        <v>2959</v>
      </c>
      <c r="B17" t="s">
        <v>224</v>
      </c>
      <c r="C17" t="s">
        <v>2960</v>
      </c>
      <c r="D17" t="s">
        <v>2961</v>
      </c>
      <c r="E17" t="s">
        <v>2962</v>
      </c>
    </row>
    <row r="18" spans="1:6" hidden="1">
      <c r="A18" t="s">
        <v>2963</v>
      </c>
      <c r="B18" t="s">
        <v>2927</v>
      </c>
      <c r="C18" t="s">
        <v>2964</v>
      </c>
      <c r="D18" t="s">
        <v>2965</v>
      </c>
      <c r="E18" t="s">
        <v>2966</v>
      </c>
    </row>
    <row r="19" spans="1:6" hidden="1">
      <c r="A19" t="s">
        <v>2967</v>
      </c>
      <c r="B19" t="s">
        <v>2923</v>
      </c>
      <c r="C19">
        <v>25030</v>
      </c>
      <c r="D19" t="s">
        <v>2968</v>
      </c>
      <c r="E19" t="s">
        <v>2969</v>
      </c>
    </row>
    <row r="20" spans="1:6" hidden="1">
      <c r="A20" t="s">
        <v>2970</v>
      </c>
      <c r="B20" t="s">
        <v>2971</v>
      </c>
      <c r="C20">
        <v>360024</v>
      </c>
      <c r="D20" t="s">
        <v>2972</v>
      </c>
      <c r="E20" t="s">
        <v>2973</v>
      </c>
    </row>
    <row r="21" spans="1:6" hidden="1">
      <c r="A21" t="s">
        <v>2974</v>
      </c>
      <c r="B21" t="s">
        <v>2971</v>
      </c>
      <c r="C21">
        <v>360021</v>
      </c>
      <c r="D21" t="s">
        <v>2975</v>
      </c>
      <c r="E21" t="s">
        <v>2976</v>
      </c>
    </row>
    <row r="22" spans="1:6" hidden="1">
      <c r="A22" t="s">
        <v>2977</v>
      </c>
      <c r="B22" t="s">
        <v>2919</v>
      </c>
      <c r="C22">
        <v>31839</v>
      </c>
      <c r="D22" t="s">
        <v>2978</v>
      </c>
      <c r="E22" t="s">
        <v>2979</v>
      </c>
    </row>
    <row r="23" spans="1:6" hidden="1">
      <c r="A23" t="s">
        <v>2980</v>
      </c>
      <c r="B23" t="s">
        <v>2932</v>
      </c>
      <c r="C23">
        <v>53600</v>
      </c>
      <c r="D23" t="s">
        <v>2981</v>
      </c>
      <c r="E23" t="s">
        <v>2982</v>
      </c>
      <c r="F23" t="s">
        <v>64</v>
      </c>
    </row>
    <row r="24" spans="1:6" hidden="1">
      <c r="A24" t="s">
        <v>2983</v>
      </c>
      <c r="B24" t="s">
        <v>2971</v>
      </c>
      <c r="C24">
        <v>382330</v>
      </c>
      <c r="D24" t="s">
        <v>2984</v>
      </c>
      <c r="E24" t="s">
        <v>2985</v>
      </c>
    </row>
    <row r="25" spans="1:6" hidden="1">
      <c r="A25" t="s">
        <v>2986</v>
      </c>
      <c r="B25" t="s">
        <v>2908</v>
      </c>
      <c r="C25">
        <v>47918</v>
      </c>
      <c r="D25" t="s">
        <v>2987</v>
      </c>
      <c r="E25" t="s">
        <v>2988</v>
      </c>
    </row>
    <row r="26" spans="1:6" hidden="1">
      <c r="A26" t="s">
        <v>2989</v>
      </c>
      <c r="B26" t="s">
        <v>2908</v>
      </c>
      <c r="C26">
        <v>33758</v>
      </c>
      <c r="D26" t="s">
        <v>2990</v>
      </c>
      <c r="E26" t="s">
        <v>2991</v>
      </c>
    </row>
    <row r="27" spans="1:6" hidden="1">
      <c r="A27" t="s">
        <v>2992</v>
      </c>
      <c r="B27" t="s">
        <v>2908</v>
      </c>
      <c r="C27">
        <v>16727</v>
      </c>
      <c r="D27" t="s">
        <v>2993</v>
      </c>
      <c r="E27" t="s">
        <v>2988</v>
      </c>
    </row>
    <row r="28" spans="1:6" hidden="1">
      <c r="A28" t="s">
        <v>2994</v>
      </c>
      <c r="B28" t="s">
        <v>2971</v>
      </c>
      <c r="C28">
        <v>400063</v>
      </c>
      <c r="D28" t="s">
        <v>2995</v>
      </c>
      <c r="E28" t="s">
        <v>2996</v>
      </c>
    </row>
    <row r="29" spans="1:6" hidden="1">
      <c r="A29" t="s">
        <v>2997</v>
      </c>
      <c r="B29" t="s">
        <v>2932</v>
      </c>
      <c r="C29">
        <v>214174</v>
      </c>
      <c r="D29" t="s">
        <v>2998</v>
      </c>
      <c r="E29" t="s">
        <v>2999</v>
      </c>
      <c r="F29" t="s">
        <v>64</v>
      </c>
    </row>
    <row r="30" spans="1:6" hidden="1">
      <c r="A30" t="s">
        <v>3000</v>
      </c>
      <c r="B30" t="s">
        <v>2908</v>
      </c>
      <c r="C30">
        <v>47877</v>
      </c>
      <c r="D30" t="s">
        <v>3001</v>
      </c>
      <c r="E30" t="s">
        <v>3002</v>
      </c>
    </row>
    <row r="31" spans="1:6" hidden="1">
      <c r="A31" t="s">
        <v>3003</v>
      </c>
      <c r="B31" t="s">
        <v>2971</v>
      </c>
      <c r="C31">
        <v>401208</v>
      </c>
      <c r="D31" t="s">
        <v>2995</v>
      </c>
      <c r="E31" t="s">
        <v>3004</v>
      </c>
    </row>
    <row r="32" spans="1:6" hidden="1">
      <c r="A32" t="s">
        <v>3005</v>
      </c>
      <c r="B32" t="s">
        <v>3006</v>
      </c>
      <c r="C32">
        <v>16500</v>
      </c>
      <c r="D32" t="s">
        <v>3007</v>
      </c>
      <c r="E32" t="s">
        <v>3008</v>
      </c>
    </row>
    <row r="33" spans="1:6" hidden="1">
      <c r="A33" t="s">
        <v>3009</v>
      </c>
      <c r="B33" t="s">
        <v>2908</v>
      </c>
      <c r="C33">
        <v>79379</v>
      </c>
      <c r="D33" t="s">
        <v>3010</v>
      </c>
      <c r="E33" t="s">
        <v>3011</v>
      </c>
    </row>
    <row r="34" spans="1:6" hidden="1">
      <c r="A34" t="s">
        <v>3012</v>
      </c>
      <c r="B34" t="s">
        <v>2971</v>
      </c>
      <c r="C34">
        <v>360311</v>
      </c>
      <c r="D34" t="s">
        <v>2975</v>
      </c>
      <c r="E34" t="s">
        <v>3013</v>
      </c>
    </row>
    <row r="35" spans="1:6" hidden="1">
      <c r="A35" t="s">
        <v>3014</v>
      </c>
      <c r="B35" t="s">
        <v>3015</v>
      </c>
      <c r="C35" t="s">
        <v>3016</v>
      </c>
      <c r="D35" t="s">
        <v>3017</v>
      </c>
      <c r="E35" t="s">
        <v>3018</v>
      </c>
    </row>
    <row r="36" spans="1:6" hidden="1">
      <c r="A36" t="s">
        <v>3019</v>
      </c>
      <c r="B36" t="s">
        <v>2908</v>
      </c>
      <c r="C36">
        <v>40880</v>
      </c>
      <c r="D36" t="s">
        <v>3020</v>
      </c>
      <c r="E36" t="s">
        <v>3021</v>
      </c>
    </row>
    <row r="37" spans="1:6" hidden="1">
      <c r="A37" t="s">
        <v>3022</v>
      </c>
      <c r="B37" t="s">
        <v>2908</v>
      </c>
      <c r="C37">
        <v>74676</v>
      </c>
      <c r="D37" t="s">
        <v>3023</v>
      </c>
      <c r="E37" t="s">
        <v>3024</v>
      </c>
    </row>
    <row r="38" spans="1:6" hidden="1">
      <c r="A38" t="s">
        <v>3025</v>
      </c>
      <c r="B38" t="s">
        <v>2908</v>
      </c>
      <c r="C38">
        <v>78087</v>
      </c>
      <c r="D38" t="s">
        <v>3026</v>
      </c>
      <c r="E38" t="s">
        <v>3027</v>
      </c>
    </row>
    <row r="39" spans="1:6" hidden="1">
      <c r="A39" t="s">
        <v>3028</v>
      </c>
      <c r="B39" t="s">
        <v>2923</v>
      </c>
      <c r="C39">
        <v>24061</v>
      </c>
      <c r="D39" t="s">
        <v>3029</v>
      </c>
      <c r="E39" t="s">
        <v>3030</v>
      </c>
    </row>
    <row r="40" spans="1:6" hidden="1">
      <c r="A40" t="s">
        <v>3031</v>
      </c>
      <c r="B40" t="s">
        <v>2919</v>
      </c>
      <c r="C40">
        <v>17600</v>
      </c>
      <c r="D40" t="s">
        <v>3032</v>
      </c>
      <c r="E40" t="s">
        <v>3033</v>
      </c>
    </row>
    <row r="41" spans="1:6" hidden="1">
      <c r="A41" t="s">
        <v>3034</v>
      </c>
      <c r="B41" t="s">
        <v>2919</v>
      </c>
      <c r="C41">
        <v>31839</v>
      </c>
      <c r="D41" t="s">
        <v>3035</v>
      </c>
      <c r="E41" t="s">
        <v>3036</v>
      </c>
    </row>
    <row r="42" spans="1:6" hidden="1">
      <c r="A42" t="s">
        <v>3037</v>
      </c>
      <c r="B42" t="s">
        <v>2932</v>
      </c>
      <c r="C42">
        <v>325105</v>
      </c>
      <c r="D42" t="s">
        <v>3038</v>
      </c>
      <c r="E42" t="s">
        <v>3039</v>
      </c>
      <c r="F42" t="s">
        <v>64</v>
      </c>
    </row>
    <row r="43" spans="1:6" hidden="1">
      <c r="A43" t="s">
        <v>3040</v>
      </c>
      <c r="B43" t="s">
        <v>2908</v>
      </c>
      <c r="C43">
        <v>53547</v>
      </c>
      <c r="D43" t="s">
        <v>2944</v>
      </c>
      <c r="E43" t="s">
        <v>3041</v>
      </c>
    </row>
    <row r="44" spans="1:6" hidden="1">
      <c r="A44" t="s">
        <v>3042</v>
      </c>
      <c r="B44" t="s">
        <v>2932</v>
      </c>
      <c r="C44">
        <v>10070</v>
      </c>
      <c r="D44" t="s">
        <v>3043</v>
      </c>
      <c r="E44" t="s">
        <v>3044</v>
      </c>
      <c r="F44" t="s">
        <v>64</v>
      </c>
    </row>
    <row r="45" spans="1:6" hidden="1">
      <c r="A45" t="s">
        <v>3045</v>
      </c>
      <c r="B45" t="s">
        <v>3046</v>
      </c>
      <c r="C45">
        <v>100025</v>
      </c>
      <c r="D45" t="s">
        <v>3043</v>
      </c>
      <c r="E45" t="s">
        <v>3047</v>
      </c>
      <c r="F45" t="s">
        <v>64</v>
      </c>
    </row>
    <row r="46" spans="1:6" hidden="1">
      <c r="A46" t="s">
        <v>3045</v>
      </c>
      <c r="B46" t="s">
        <v>3046</v>
      </c>
      <c r="C46">
        <v>100025</v>
      </c>
      <c r="D46" t="s">
        <v>3043</v>
      </c>
      <c r="E46" t="s">
        <v>3048</v>
      </c>
      <c r="F46" t="s">
        <v>64</v>
      </c>
    </row>
    <row r="47" spans="1:6" hidden="1">
      <c r="A47" t="s">
        <v>3049</v>
      </c>
      <c r="B47" t="s">
        <v>2932</v>
      </c>
      <c r="C47">
        <v>325025</v>
      </c>
      <c r="D47" t="s">
        <v>3050</v>
      </c>
      <c r="E47" t="s">
        <v>3051</v>
      </c>
      <c r="F47" t="s">
        <v>64</v>
      </c>
    </row>
    <row r="48" spans="1:6" hidden="1">
      <c r="A48" t="s">
        <v>3052</v>
      </c>
      <c r="B48" t="s">
        <v>2908</v>
      </c>
      <c r="C48">
        <v>47918</v>
      </c>
      <c r="D48" t="s">
        <v>2987</v>
      </c>
      <c r="E48" t="s">
        <v>3053</v>
      </c>
    </row>
    <row r="49" spans="1:5" hidden="1">
      <c r="A49" t="s">
        <v>3054</v>
      </c>
      <c r="B49" t="s">
        <v>3055</v>
      </c>
      <c r="C49">
        <v>95505</v>
      </c>
      <c r="D49" t="s">
        <v>3056</v>
      </c>
      <c r="E49" t="s">
        <v>3057</v>
      </c>
    </row>
    <row r="50" spans="1:5" hidden="1">
      <c r="A50" t="s">
        <v>3058</v>
      </c>
      <c r="B50" t="s">
        <v>2923</v>
      </c>
      <c r="C50">
        <v>20049</v>
      </c>
      <c r="D50" t="s">
        <v>3059</v>
      </c>
      <c r="E50" t="s">
        <v>3060</v>
      </c>
    </row>
    <row r="51" spans="1:5" hidden="1">
      <c r="A51" t="s">
        <v>3061</v>
      </c>
      <c r="B51" t="s">
        <v>2908</v>
      </c>
      <c r="C51">
        <v>45549</v>
      </c>
      <c r="D51" t="s">
        <v>3062</v>
      </c>
      <c r="E51" t="s">
        <v>3063</v>
      </c>
    </row>
    <row r="52" spans="1:5" hidden="1">
      <c r="A52" t="s">
        <v>3064</v>
      </c>
      <c r="B52" t="s">
        <v>2919</v>
      </c>
      <c r="C52">
        <v>46988</v>
      </c>
      <c r="D52" t="s">
        <v>3065</v>
      </c>
      <c r="E52" t="s">
        <v>3066</v>
      </c>
    </row>
    <row r="53" spans="1:5" hidden="1">
      <c r="A53" t="s">
        <v>3067</v>
      </c>
      <c r="B53" t="s">
        <v>2908</v>
      </c>
      <c r="C53">
        <v>40221</v>
      </c>
      <c r="D53" t="s">
        <v>3068</v>
      </c>
      <c r="E53" t="s">
        <v>3069</v>
      </c>
    </row>
    <row r="54" spans="1:5" hidden="1">
      <c r="A54" t="s">
        <v>3070</v>
      </c>
      <c r="B54" t="s">
        <v>2908</v>
      </c>
      <c r="C54">
        <v>13507</v>
      </c>
      <c r="D54" t="s">
        <v>3071</v>
      </c>
      <c r="E54" t="s">
        <v>3072</v>
      </c>
    </row>
    <row r="55" spans="1:5" hidden="1">
      <c r="A55" t="s">
        <v>3073</v>
      </c>
      <c r="B55" t="s">
        <v>2923</v>
      </c>
      <c r="C55">
        <v>28078</v>
      </c>
      <c r="D55" t="s">
        <v>3074</v>
      </c>
      <c r="E55" t="s">
        <v>3075</v>
      </c>
    </row>
    <row r="56" spans="1:5" hidden="1">
      <c r="A56" t="s">
        <v>3076</v>
      </c>
      <c r="B56" t="s">
        <v>2908</v>
      </c>
      <c r="C56">
        <v>47877</v>
      </c>
      <c r="D56" t="s">
        <v>3001</v>
      </c>
      <c r="E56" t="s">
        <v>3077</v>
      </c>
    </row>
    <row r="57" spans="1:5">
      <c r="A57" t="s">
        <v>3078</v>
      </c>
      <c r="B57" t="s">
        <v>311</v>
      </c>
      <c r="C57">
        <v>77041</v>
      </c>
      <c r="D57" t="s">
        <v>2950</v>
      </c>
      <c r="E57" t="s">
        <v>3077</v>
      </c>
    </row>
    <row r="58" spans="1:5" hidden="1">
      <c r="A58" t="s">
        <v>3079</v>
      </c>
      <c r="B58" t="s">
        <v>1246</v>
      </c>
      <c r="C58">
        <v>4690</v>
      </c>
      <c r="D58" t="s">
        <v>3080</v>
      </c>
      <c r="E58" t="s">
        <v>3081</v>
      </c>
    </row>
    <row r="59" spans="1:5" hidden="1">
      <c r="A59" t="s">
        <v>3082</v>
      </c>
      <c r="B59" t="s">
        <v>3083</v>
      </c>
      <c r="C59">
        <v>3665</v>
      </c>
      <c r="D59" t="s">
        <v>3084</v>
      </c>
      <c r="E59" t="s">
        <v>3085</v>
      </c>
    </row>
    <row r="60" spans="1:5" hidden="1">
      <c r="A60" t="s">
        <v>3086</v>
      </c>
      <c r="B60" t="s">
        <v>3006</v>
      </c>
      <c r="C60">
        <v>16159</v>
      </c>
      <c r="D60" t="s">
        <v>3007</v>
      </c>
      <c r="E60" t="s">
        <v>3087</v>
      </c>
    </row>
    <row r="61" spans="1:5" hidden="1">
      <c r="A61" t="s">
        <v>3088</v>
      </c>
      <c r="B61" t="s">
        <v>2919</v>
      </c>
      <c r="C61">
        <v>8780</v>
      </c>
      <c r="D61" t="s">
        <v>3089</v>
      </c>
      <c r="E61" t="s">
        <v>3090</v>
      </c>
    </row>
    <row r="62" spans="1:5" hidden="1">
      <c r="A62" t="s">
        <v>3091</v>
      </c>
      <c r="B62" t="s">
        <v>2927</v>
      </c>
      <c r="C62" t="s">
        <v>3092</v>
      </c>
      <c r="D62" t="s">
        <v>3093</v>
      </c>
      <c r="E62" t="s">
        <v>3094</v>
      </c>
    </row>
    <row r="63" spans="1:5" hidden="1">
      <c r="A63" t="s">
        <v>3095</v>
      </c>
      <c r="B63" t="s">
        <v>2927</v>
      </c>
      <c r="C63" t="s">
        <v>3096</v>
      </c>
      <c r="D63" t="s">
        <v>3097</v>
      </c>
      <c r="E63" t="s">
        <v>3098</v>
      </c>
    </row>
    <row r="64" spans="1:5" hidden="1">
      <c r="A64" t="s">
        <v>3099</v>
      </c>
      <c r="B64" t="s">
        <v>2919</v>
      </c>
      <c r="C64">
        <v>46540</v>
      </c>
      <c r="D64" t="s">
        <v>3100</v>
      </c>
      <c r="E64" t="s">
        <v>3101</v>
      </c>
    </row>
    <row r="65" spans="1:6" hidden="1">
      <c r="A65" t="s">
        <v>3102</v>
      </c>
      <c r="B65" t="s">
        <v>2908</v>
      </c>
      <c r="C65">
        <v>47138</v>
      </c>
      <c r="D65" t="s">
        <v>3103</v>
      </c>
      <c r="E65" t="s">
        <v>3104</v>
      </c>
    </row>
    <row r="66" spans="1:6" hidden="1">
      <c r="A66" t="s">
        <v>3105</v>
      </c>
      <c r="B66" t="s">
        <v>2971</v>
      </c>
      <c r="C66">
        <v>388630</v>
      </c>
      <c r="D66" t="s">
        <v>3106</v>
      </c>
      <c r="E66" t="s">
        <v>3107</v>
      </c>
    </row>
    <row r="67" spans="1:6" hidden="1">
      <c r="A67" t="s">
        <v>3108</v>
      </c>
      <c r="B67" t="s">
        <v>2923</v>
      </c>
      <c r="C67">
        <v>24069</v>
      </c>
      <c r="D67" t="s">
        <v>3109</v>
      </c>
      <c r="E67" t="s">
        <v>3110</v>
      </c>
    </row>
    <row r="68" spans="1:6" hidden="1">
      <c r="A68" t="s">
        <v>3111</v>
      </c>
      <c r="B68" t="s">
        <v>2932</v>
      </c>
      <c r="C68">
        <v>61000</v>
      </c>
      <c r="D68" t="s">
        <v>3112</v>
      </c>
      <c r="E68" t="s">
        <v>3113</v>
      </c>
      <c r="F68" t="s">
        <v>64</v>
      </c>
    </row>
    <row r="69" spans="1:6" hidden="1">
      <c r="A69" t="s">
        <v>3114</v>
      </c>
      <c r="B69" t="s">
        <v>2932</v>
      </c>
      <c r="C69">
        <v>61000</v>
      </c>
      <c r="D69" t="s">
        <v>3112</v>
      </c>
      <c r="E69" t="s">
        <v>3115</v>
      </c>
      <c r="F69" t="s">
        <v>64</v>
      </c>
    </row>
    <row r="70" spans="1:6" hidden="1">
      <c r="A70" t="s">
        <v>3116</v>
      </c>
      <c r="B70" t="s">
        <v>2932</v>
      </c>
      <c r="C70">
        <v>61000</v>
      </c>
      <c r="D70" t="s">
        <v>3117</v>
      </c>
      <c r="E70" t="s">
        <v>3118</v>
      </c>
      <c r="F70" t="s">
        <v>64</v>
      </c>
    </row>
    <row r="71" spans="1:6" hidden="1">
      <c r="A71" t="s">
        <v>3119</v>
      </c>
      <c r="B71" t="s">
        <v>2932</v>
      </c>
      <c r="C71">
        <v>61000</v>
      </c>
      <c r="D71" t="s">
        <v>3112</v>
      </c>
      <c r="E71" t="s">
        <v>3120</v>
      </c>
      <c r="F71" t="s">
        <v>64</v>
      </c>
    </row>
    <row r="72" spans="1:6" hidden="1">
      <c r="A72" t="s">
        <v>3121</v>
      </c>
      <c r="B72" t="s">
        <v>2923</v>
      </c>
      <c r="C72">
        <v>20054</v>
      </c>
      <c r="D72" t="s">
        <v>3122</v>
      </c>
      <c r="E72" t="s">
        <v>3123</v>
      </c>
    </row>
    <row r="73" spans="1:6" hidden="1">
      <c r="A73" t="s">
        <v>3124</v>
      </c>
      <c r="B73" t="s">
        <v>2971</v>
      </c>
      <c r="C73">
        <v>362003</v>
      </c>
      <c r="D73" t="s">
        <v>3125</v>
      </c>
      <c r="E73" t="s">
        <v>3126</v>
      </c>
    </row>
    <row r="74" spans="1:6" hidden="1">
      <c r="A74" t="s">
        <v>3127</v>
      </c>
      <c r="B74" t="s">
        <v>2919</v>
      </c>
      <c r="C74">
        <v>28970</v>
      </c>
      <c r="D74" t="s">
        <v>3128</v>
      </c>
      <c r="E74" t="s">
        <v>3129</v>
      </c>
    </row>
    <row r="75" spans="1:6">
      <c r="A75" t="s">
        <v>3130</v>
      </c>
      <c r="B75" t="s">
        <v>311</v>
      </c>
      <c r="C75">
        <v>28277</v>
      </c>
      <c r="D75" t="s">
        <v>3131</v>
      </c>
      <c r="E75" t="s">
        <v>3132</v>
      </c>
    </row>
    <row r="76" spans="1:6" hidden="1">
      <c r="A76" t="s">
        <v>3133</v>
      </c>
      <c r="B76" t="s">
        <v>2971</v>
      </c>
      <c r="C76">
        <v>411057</v>
      </c>
      <c r="D76" t="s">
        <v>3134</v>
      </c>
      <c r="E76" t="s">
        <v>3135</v>
      </c>
    </row>
    <row r="77" spans="1:6" hidden="1">
      <c r="A77" t="s">
        <v>3136</v>
      </c>
      <c r="B77" t="s">
        <v>2908</v>
      </c>
      <c r="C77">
        <v>7629</v>
      </c>
      <c r="D77" t="s">
        <v>3137</v>
      </c>
      <c r="E77" t="s">
        <v>3138</v>
      </c>
    </row>
    <row r="78" spans="1:6" hidden="1">
      <c r="A78" t="s">
        <v>3139</v>
      </c>
      <c r="B78" t="s">
        <v>2932</v>
      </c>
      <c r="C78">
        <v>325105</v>
      </c>
      <c r="D78" t="s">
        <v>3140</v>
      </c>
      <c r="E78" t="s">
        <v>3141</v>
      </c>
      <c r="F78" t="s">
        <v>64</v>
      </c>
    </row>
    <row r="79" spans="1:6" hidden="1">
      <c r="A79" t="s">
        <v>3142</v>
      </c>
      <c r="B79" t="s">
        <v>3143</v>
      </c>
      <c r="C79">
        <v>4716</v>
      </c>
      <c r="D79" t="s">
        <v>3144</v>
      </c>
      <c r="E79" t="s">
        <v>3145</v>
      </c>
    </row>
    <row r="80" spans="1:6" hidden="1">
      <c r="A80" t="s">
        <v>3146</v>
      </c>
      <c r="B80" t="s">
        <v>2932</v>
      </c>
      <c r="C80">
        <v>325000</v>
      </c>
      <c r="D80" t="s">
        <v>3147</v>
      </c>
      <c r="E80" t="s">
        <v>3148</v>
      </c>
      <c r="F80" t="s">
        <v>64</v>
      </c>
    </row>
    <row r="81" spans="1:6" hidden="1">
      <c r="A81" t="s">
        <v>3149</v>
      </c>
      <c r="B81" t="s">
        <v>2932</v>
      </c>
      <c r="C81">
        <v>242800</v>
      </c>
      <c r="D81" t="s">
        <v>3150</v>
      </c>
      <c r="E81" t="s">
        <v>3151</v>
      </c>
      <c r="F81" t="s">
        <v>64</v>
      </c>
    </row>
    <row r="82" spans="1:6" hidden="1">
      <c r="A82" t="s">
        <v>3152</v>
      </c>
      <c r="B82" t="s">
        <v>2927</v>
      </c>
      <c r="C82" t="s">
        <v>3153</v>
      </c>
      <c r="D82" t="s">
        <v>3154</v>
      </c>
      <c r="E82" t="s">
        <v>3155</v>
      </c>
    </row>
    <row r="83" spans="1:6" hidden="1">
      <c r="A83" t="s">
        <v>3156</v>
      </c>
      <c r="B83" t="s">
        <v>2923</v>
      </c>
      <c r="C83">
        <v>40060</v>
      </c>
      <c r="D83" t="s">
        <v>3157</v>
      </c>
      <c r="E83" t="s">
        <v>3158</v>
      </c>
    </row>
    <row r="84" spans="1:6" hidden="1">
      <c r="A84" t="s">
        <v>3159</v>
      </c>
      <c r="B84" t="s">
        <v>2919</v>
      </c>
      <c r="C84">
        <v>20400</v>
      </c>
      <c r="D84" t="s">
        <v>3160</v>
      </c>
      <c r="E84" t="s">
        <v>3161</v>
      </c>
    </row>
    <row r="85" spans="1:6" hidden="1">
      <c r="A85" t="s">
        <v>3162</v>
      </c>
      <c r="B85" t="s">
        <v>2908</v>
      </c>
      <c r="C85">
        <v>41460</v>
      </c>
      <c r="D85" t="s">
        <v>3163</v>
      </c>
      <c r="E85" t="s">
        <v>3164</v>
      </c>
    </row>
    <row r="86" spans="1:6" hidden="1">
      <c r="A86" t="s">
        <v>3165</v>
      </c>
      <c r="B86" t="s">
        <v>2923</v>
      </c>
      <c r="C86">
        <v>20098</v>
      </c>
      <c r="D86" t="s">
        <v>3166</v>
      </c>
      <c r="E86" t="s">
        <v>3060</v>
      </c>
    </row>
    <row r="87" spans="1:6" hidden="1">
      <c r="A87" t="s">
        <v>3167</v>
      </c>
      <c r="B87" t="s">
        <v>224</v>
      </c>
      <c r="C87" t="s">
        <v>3168</v>
      </c>
      <c r="D87" t="s">
        <v>3169</v>
      </c>
      <c r="E87" t="s">
        <v>3170</v>
      </c>
    </row>
    <row r="88" spans="1:6" hidden="1">
      <c r="A88" t="s">
        <v>3171</v>
      </c>
      <c r="B88" t="s">
        <v>2919</v>
      </c>
      <c r="C88">
        <v>46540</v>
      </c>
      <c r="D88" t="s">
        <v>3100</v>
      </c>
      <c r="E88" t="s">
        <v>3172</v>
      </c>
    </row>
    <row r="89" spans="1:6" hidden="1">
      <c r="A89" t="s">
        <v>3173</v>
      </c>
      <c r="B89" t="s">
        <v>2923</v>
      </c>
      <c r="C89">
        <v>17014</v>
      </c>
      <c r="D89" t="s">
        <v>3174</v>
      </c>
      <c r="E89" t="s">
        <v>3175</v>
      </c>
    </row>
    <row r="90" spans="1:6" hidden="1">
      <c r="A90" t="s">
        <v>3176</v>
      </c>
      <c r="B90" t="s">
        <v>2923</v>
      </c>
      <c r="C90">
        <v>20864</v>
      </c>
      <c r="D90" t="s">
        <v>3177</v>
      </c>
      <c r="E90" t="s">
        <v>3178</v>
      </c>
    </row>
    <row r="91" spans="1:6">
      <c r="A91" t="s">
        <v>3179</v>
      </c>
      <c r="B91" t="s">
        <v>311</v>
      </c>
      <c r="C91">
        <v>77489</v>
      </c>
      <c r="D91" t="s">
        <v>2950</v>
      </c>
      <c r="E91" t="s">
        <v>3180</v>
      </c>
    </row>
    <row r="92" spans="1:6" hidden="1">
      <c r="A92" t="s">
        <v>3181</v>
      </c>
      <c r="B92" t="s">
        <v>2908</v>
      </c>
      <c r="C92">
        <v>88131</v>
      </c>
      <c r="D92" t="s">
        <v>3182</v>
      </c>
      <c r="E92" t="s">
        <v>3183</v>
      </c>
    </row>
    <row r="93" spans="1:6" hidden="1">
      <c r="A93" t="s">
        <v>3184</v>
      </c>
      <c r="B93" t="s">
        <v>2908</v>
      </c>
      <c r="C93">
        <v>88046</v>
      </c>
      <c r="D93" t="s">
        <v>3185</v>
      </c>
      <c r="E93" t="s">
        <v>3186</v>
      </c>
    </row>
    <row r="94" spans="1:6" hidden="1">
      <c r="A94" t="s">
        <v>3187</v>
      </c>
      <c r="B94" t="s">
        <v>2971</v>
      </c>
      <c r="C94">
        <v>362003</v>
      </c>
      <c r="D94" t="s">
        <v>3125</v>
      </c>
      <c r="E94" t="s">
        <v>3188</v>
      </c>
    </row>
    <row r="95" spans="1:6" hidden="1">
      <c r="A95" t="s">
        <v>3189</v>
      </c>
      <c r="B95" t="s">
        <v>2927</v>
      </c>
      <c r="C95" t="s">
        <v>3190</v>
      </c>
      <c r="D95" t="s">
        <v>3191</v>
      </c>
      <c r="E95" t="s">
        <v>3192</v>
      </c>
    </row>
    <row r="96" spans="1:6" hidden="1">
      <c r="A96" t="s">
        <v>3193</v>
      </c>
      <c r="B96" t="s">
        <v>2908</v>
      </c>
      <c r="C96">
        <v>48488</v>
      </c>
      <c r="D96" t="s">
        <v>3194</v>
      </c>
      <c r="E96" t="s">
        <v>3195</v>
      </c>
    </row>
    <row r="97" spans="1:6" hidden="1">
      <c r="A97" t="s">
        <v>3196</v>
      </c>
      <c r="B97" t="s">
        <v>2932</v>
      </c>
      <c r="C97">
        <v>325106</v>
      </c>
      <c r="D97" t="s">
        <v>3197</v>
      </c>
      <c r="E97" t="s">
        <v>3198</v>
      </c>
      <c r="F97" t="s">
        <v>64</v>
      </c>
    </row>
    <row r="98" spans="1:6" hidden="1">
      <c r="A98" t="s">
        <v>3199</v>
      </c>
      <c r="B98" t="s">
        <v>2923</v>
      </c>
      <c r="C98">
        <v>20122</v>
      </c>
      <c r="D98" t="s">
        <v>3200</v>
      </c>
      <c r="E98" t="s">
        <v>3201</v>
      </c>
    </row>
    <row r="99" spans="1:6" hidden="1">
      <c r="A99" t="s">
        <v>3202</v>
      </c>
      <c r="B99" t="s">
        <v>2932</v>
      </c>
      <c r="C99">
        <v>610065</v>
      </c>
      <c r="D99" t="s">
        <v>3203</v>
      </c>
      <c r="E99" t="s">
        <v>3204</v>
      </c>
      <c r="F99" t="s">
        <v>64</v>
      </c>
    </row>
    <row r="100" spans="1:6" hidden="1">
      <c r="A100" t="s">
        <v>3205</v>
      </c>
      <c r="B100" t="s">
        <v>2932</v>
      </c>
      <c r="C100">
        <v>325102</v>
      </c>
      <c r="D100" t="s">
        <v>3038</v>
      </c>
      <c r="E100" t="s">
        <v>3206</v>
      </c>
      <c r="F100" t="s">
        <v>64</v>
      </c>
    </row>
    <row r="101" spans="1:6" hidden="1">
      <c r="A101" t="s">
        <v>3207</v>
      </c>
      <c r="B101" t="s">
        <v>2908</v>
      </c>
      <c r="C101">
        <v>56070</v>
      </c>
      <c r="D101" t="s">
        <v>3208</v>
      </c>
      <c r="E101" t="s">
        <v>3209</v>
      </c>
    </row>
    <row r="102" spans="1:6" hidden="1">
      <c r="A102" t="s">
        <v>3210</v>
      </c>
      <c r="B102" t="s">
        <v>3211</v>
      </c>
      <c r="C102" t="s">
        <v>3212</v>
      </c>
      <c r="D102" t="s">
        <v>3213</v>
      </c>
      <c r="E102" t="s">
        <v>3214</v>
      </c>
    </row>
    <row r="103" spans="1:6">
      <c r="A103" t="s">
        <v>3215</v>
      </c>
      <c r="B103" t="s">
        <v>311</v>
      </c>
      <c r="C103">
        <v>93308</v>
      </c>
      <c r="D103" t="s">
        <v>3216</v>
      </c>
      <c r="E103" t="s">
        <v>3217</v>
      </c>
    </row>
    <row r="104" spans="1:6" hidden="1">
      <c r="A104" t="s">
        <v>3218</v>
      </c>
      <c r="B104" t="s">
        <v>2923</v>
      </c>
      <c r="C104">
        <v>66020</v>
      </c>
      <c r="D104" t="s">
        <v>3219</v>
      </c>
      <c r="E104" t="s">
        <v>3220</v>
      </c>
    </row>
    <row r="105" spans="1:6" hidden="1">
      <c r="A105" t="s">
        <v>3221</v>
      </c>
      <c r="B105" t="s">
        <v>2932</v>
      </c>
      <c r="C105">
        <v>325105</v>
      </c>
      <c r="D105" t="s">
        <v>3050</v>
      </c>
      <c r="E105" t="s">
        <v>3222</v>
      </c>
      <c r="F105" t="s">
        <v>64</v>
      </c>
    </row>
    <row r="106" spans="1:6" hidden="1">
      <c r="A106" t="s">
        <v>3223</v>
      </c>
      <c r="B106" t="s">
        <v>3006</v>
      </c>
      <c r="C106">
        <v>35730</v>
      </c>
      <c r="D106" t="s">
        <v>3224</v>
      </c>
      <c r="E106" t="s">
        <v>3225</v>
      </c>
    </row>
    <row r="107" spans="1:6" hidden="1">
      <c r="A107" t="s">
        <v>3226</v>
      </c>
      <c r="B107" t="s">
        <v>3006</v>
      </c>
      <c r="C107">
        <v>35170</v>
      </c>
      <c r="D107" t="s">
        <v>3224</v>
      </c>
      <c r="E107" t="s">
        <v>3227</v>
      </c>
    </row>
    <row r="108" spans="1:6" hidden="1">
      <c r="A108" t="s">
        <v>3228</v>
      </c>
      <c r="B108" t="s">
        <v>3006</v>
      </c>
      <c r="C108">
        <v>41480</v>
      </c>
      <c r="D108" t="s">
        <v>3229</v>
      </c>
      <c r="E108" t="s">
        <v>3230</v>
      </c>
    </row>
    <row r="109" spans="1:6" hidden="1">
      <c r="A109" t="s">
        <v>3231</v>
      </c>
      <c r="B109" t="s">
        <v>2908</v>
      </c>
      <c r="C109">
        <v>44357</v>
      </c>
      <c r="D109" t="s">
        <v>3232</v>
      </c>
      <c r="E109" t="s">
        <v>3233</v>
      </c>
    </row>
    <row r="110" spans="1:6" hidden="1">
      <c r="A110" t="s">
        <v>3234</v>
      </c>
      <c r="B110" t="s">
        <v>3235</v>
      </c>
      <c r="C110" t="s">
        <v>3236</v>
      </c>
      <c r="D110" t="s">
        <v>3237</v>
      </c>
      <c r="E110" t="s">
        <v>3238</v>
      </c>
    </row>
    <row r="111" spans="1:6" hidden="1">
      <c r="A111" t="s">
        <v>3239</v>
      </c>
      <c r="B111" t="s">
        <v>2971</v>
      </c>
      <c r="C111">
        <v>411220</v>
      </c>
      <c r="D111" t="s">
        <v>3134</v>
      </c>
      <c r="E111" t="s">
        <v>3240</v>
      </c>
    </row>
    <row r="112" spans="1:6" hidden="1">
      <c r="A112" t="s">
        <v>3241</v>
      </c>
      <c r="B112" t="s">
        <v>2908</v>
      </c>
      <c r="C112">
        <v>42279</v>
      </c>
      <c r="D112" t="s">
        <v>3242</v>
      </c>
      <c r="E112" t="s">
        <v>3243</v>
      </c>
    </row>
    <row r="113" spans="1:6" hidden="1">
      <c r="A113" t="s">
        <v>3244</v>
      </c>
      <c r="B113" t="s">
        <v>2927</v>
      </c>
      <c r="C113" t="s">
        <v>3245</v>
      </c>
      <c r="D113" t="s">
        <v>3246</v>
      </c>
      <c r="E113" t="s">
        <v>3247</v>
      </c>
    </row>
    <row r="114" spans="1:6" hidden="1">
      <c r="A114" t="s">
        <v>3248</v>
      </c>
      <c r="B114" t="s">
        <v>3006</v>
      </c>
      <c r="C114">
        <v>34522</v>
      </c>
      <c r="D114" t="s">
        <v>3249</v>
      </c>
      <c r="E114" t="s">
        <v>3250</v>
      </c>
    </row>
    <row r="115" spans="1:6" hidden="1">
      <c r="A115" t="s">
        <v>3251</v>
      </c>
      <c r="B115" t="s">
        <v>2932</v>
      </c>
      <c r="C115">
        <v>430205</v>
      </c>
      <c r="D115" t="s">
        <v>3252</v>
      </c>
      <c r="E115" t="s">
        <v>3253</v>
      </c>
      <c r="F115" t="s">
        <v>64</v>
      </c>
    </row>
    <row r="116" spans="1:6" hidden="1">
      <c r="A116" t="s">
        <v>3254</v>
      </c>
      <c r="B116" t="s">
        <v>2923</v>
      </c>
      <c r="C116">
        <v>20124</v>
      </c>
      <c r="D116" t="s">
        <v>3255</v>
      </c>
      <c r="E116" t="s">
        <v>3256</v>
      </c>
    </row>
    <row r="117" spans="1:6" hidden="1">
      <c r="A117" t="s">
        <v>3257</v>
      </c>
      <c r="B117" t="s">
        <v>2908</v>
      </c>
      <c r="C117">
        <v>36381</v>
      </c>
      <c r="D117" t="s">
        <v>3258</v>
      </c>
      <c r="E117" t="s">
        <v>3259</v>
      </c>
    </row>
    <row r="118" spans="1:6" hidden="1">
      <c r="A118" t="s">
        <v>3260</v>
      </c>
      <c r="B118" t="s">
        <v>2908</v>
      </c>
      <c r="C118">
        <v>52353</v>
      </c>
      <c r="D118" t="s">
        <v>3261</v>
      </c>
      <c r="E118" t="s">
        <v>3262</v>
      </c>
    </row>
    <row r="119" spans="1:6" hidden="1">
      <c r="A119" t="s">
        <v>3263</v>
      </c>
      <c r="B119" t="s">
        <v>2923</v>
      </c>
      <c r="C119">
        <v>25073</v>
      </c>
      <c r="D119" t="s">
        <v>3264</v>
      </c>
      <c r="E119" t="s">
        <v>3265</v>
      </c>
    </row>
    <row r="120" spans="1:6" hidden="1">
      <c r="A120" t="s">
        <v>3266</v>
      </c>
      <c r="B120" t="s">
        <v>2923</v>
      </c>
      <c r="C120">
        <v>21040</v>
      </c>
      <c r="D120" t="s">
        <v>3267</v>
      </c>
      <c r="E120" t="s">
        <v>3268</v>
      </c>
    </row>
    <row r="121" spans="1:6" hidden="1">
      <c r="A121" t="s">
        <v>3269</v>
      </c>
      <c r="B121" t="s">
        <v>3006</v>
      </c>
      <c r="C121">
        <v>35674</v>
      </c>
      <c r="D121" t="s">
        <v>3224</v>
      </c>
      <c r="E121" t="s">
        <v>3270</v>
      </c>
    </row>
    <row r="122" spans="1:6" hidden="1">
      <c r="A122" t="s">
        <v>3271</v>
      </c>
      <c r="B122" t="s">
        <v>2971</v>
      </c>
      <c r="C122">
        <v>422113</v>
      </c>
      <c r="D122" t="s">
        <v>3272</v>
      </c>
      <c r="E122" t="s">
        <v>3273</v>
      </c>
    </row>
    <row r="123" spans="1:6" hidden="1">
      <c r="A123" t="s">
        <v>3274</v>
      </c>
      <c r="B123" t="s">
        <v>2923</v>
      </c>
      <c r="C123">
        <v>29017</v>
      </c>
      <c r="D123" t="s">
        <v>3275</v>
      </c>
      <c r="E123" t="s">
        <v>3276</v>
      </c>
    </row>
    <row r="124" spans="1:6" hidden="1">
      <c r="A124" t="s">
        <v>3277</v>
      </c>
      <c r="B124" t="s">
        <v>3278</v>
      </c>
      <c r="C124">
        <v>80656</v>
      </c>
      <c r="D124" t="s">
        <v>3279</v>
      </c>
      <c r="E124" t="s">
        <v>3280</v>
      </c>
      <c r="F124" t="s">
        <v>64</v>
      </c>
    </row>
    <row r="125" spans="1:6" hidden="1">
      <c r="A125" t="s">
        <v>3281</v>
      </c>
      <c r="B125" t="s">
        <v>2908</v>
      </c>
      <c r="C125">
        <v>74321</v>
      </c>
      <c r="D125" t="s">
        <v>3282</v>
      </c>
      <c r="E125" t="s">
        <v>3283</v>
      </c>
    </row>
    <row r="126" spans="1:6" hidden="1">
      <c r="A126" t="s">
        <v>3284</v>
      </c>
      <c r="B126" t="s">
        <v>2908</v>
      </c>
      <c r="C126">
        <v>40764</v>
      </c>
      <c r="D126" t="s">
        <v>3285</v>
      </c>
      <c r="E126" t="s">
        <v>3286</v>
      </c>
    </row>
    <row r="127" spans="1:6" hidden="1">
      <c r="A127" t="s">
        <v>3287</v>
      </c>
      <c r="B127" t="s">
        <v>2908</v>
      </c>
      <c r="C127">
        <v>57482</v>
      </c>
      <c r="D127" t="s">
        <v>3288</v>
      </c>
      <c r="E127" t="s">
        <v>3289</v>
      </c>
    </row>
    <row r="128" spans="1:6" hidden="1">
      <c r="A128" t="s">
        <v>3290</v>
      </c>
      <c r="B128" t="s">
        <v>2919</v>
      </c>
      <c r="C128">
        <v>8970</v>
      </c>
      <c r="D128" t="s">
        <v>3291</v>
      </c>
      <c r="E128" t="s">
        <v>3292</v>
      </c>
    </row>
    <row r="129" spans="1:6" hidden="1">
      <c r="A129" t="s">
        <v>3293</v>
      </c>
      <c r="B129" t="s">
        <v>3294</v>
      </c>
      <c r="C129">
        <v>100197</v>
      </c>
      <c r="D129" t="s">
        <v>3295</v>
      </c>
      <c r="E129" t="s">
        <v>3296</v>
      </c>
    </row>
    <row r="130" spans="1:6" hidden="1">
      <c r="A130" t="s">
        <v>3297</v>
      </c>
      <c r="B130" t="s">
        <v>2971</v>
      </c>
      <c r="C130">
        <v>360311</v>
      </c>
      <c r="D130" t="s">
        <v>3298</v>
      </c>
      <c r="E130" t="s">
        <v>3299</v>
      </c>
    </row>
    <row r="131" spans="1:6" hidden="1">
      <c r="A131" t="s">
        <v>3300</v>
      </c>
      <c r="B131" t="s">
        <v>2923</v>
      </c>
      <c r="C131">
        <v>25038</v>
      </c>
      <c r="D131" t="s">
        <v>3301</v>
      </c>
      <c r="E131" t="s">
        <v>3302</v>
      </c>
    </row>
    <row r="132" spans="1:6" hidden="1">
      <c r="A132" t="s">
        <v>3303</v>
      </c>
      <c r="B132" t="s">
        <v>2908</v>
      </c>
      <c r="C132">
        <v>88085</v>
      </c>
      <c r="D132" t="s">
        <v>3304</v>
      </c>
      <c r="E132" t="s">
        <v>3305</v>
      </c>
    </row>
    <row r="133" spans="1:6" hidden="1">
      <c r="A133" t="s">
        <v>3306</v>
      </c>
      <c r="B133" t="s">
        <v>2908</v>
      </c>
      <c r="C133">
        <v>42929</v>
      </c>
      <c r="D133" t="s">
        <v>3307</v>
      </c>
      <c r="E133" t="s">
        <v>3308</v>
      </c>
    </row>
    <row r="134" spans="1:6" hidden="1">
      <c r="A134" t="s">
        <v>3309</v>
      </c>
      <c r="B134" t="s">
        <v>2932</v>
      </c>
      <c r="C134">
        <v>325025</v>
      </c>
      <c r="D134" t="s">
        <v>3310</v>
      </c>
      <c r="E134" t="s">
        <v>3311</v>
      </c>
      <c r="F134" t="s">
        <v>64</v>
      </c>
    </row>
    <row r="135" spans="1:6">
      <c r="A135" t="s">
        <v>3312</v>
      </c>
      <c r="B135" t="s">
        <v>311</v>
      </c>
      <c r="C135">
        <v>77423</v>
      </c>
      <c r="D135" t="s">
        <v>3313</v>
      </c>
      <c r="E135" t="s">
        <v>3314</v>
      </c>
    </row>
    <row r="136" spans="1:6" hidden="1">
      <c r="A136" t="s">
        <v>3315</v>
      </c>
      <c r="B136" t="s">
        <v>2932</v>
      </c>
      <c r="C136">
        <v>273400</v>
      </c>
      <c r="D136" t="s">
        <v>3316</v>
      </c>
      <c r="E136" t="s">
        <v>3317</v>
      </c>
      <c r="F136" t="s">
        <v>64</v>
      </c>
    </row>
    <row r="137" spans="1:6" hidden="1">
      <c r="A137" t="s">
        <v>3318</v>
      </c>
      <c r="B137" t="s">
        <v>3319</v>
      </c>
      <c r="C137" t="s">
        <v>3320</v>
      </c>
      <c r="D137" t="s">
        <v>3321</v>
      </c>
      <c r="E137" t="s">
        <v>3322</v>
      </c>
    </row>
    <row r="138" spans="1:6" hidden="1">
      <c r="A138" t="s">
        <v>3323</v>
      </c>
      <c r="B138" t="s">
        <v>2908</v>
      </c>
      <c r="C138">
        <v>74389</v>
      </c>
      <c r="D138" t="s">
        <v>3324</v>
      </c>
      <c r="E138" t="s">
        <v>3325</v>
      </c>
    </row>
    <row r="139" spans="1:6" hidden="1">
      <c r="A139" t="s">
        <v>3326</v>
      </c>
      <c r="B139" t="s">
        <v>2932</v>
      </c>
      <c r="C139">
        <v>201802</v>
      </c>
      <c r="D139" t="s">
        <v>3327</v>
      </c>
      <c r="E139" t="s">
        <v>3328</v>
      </c>
      <c r="F139" t="s">
        <v>64</v>
      </c>
    </row>
    <row r="140" spans="1:6" hidden="1">
      <c r="A140" t="s">
        <v>3329</v>
      </c>
      <c r="B140" t="s">
        <v>2919</v>
      </c>
      <c r="C140">
        <v>48100</v>
      </c>
      <c r="D140" t="s">
        <v>3330</v>
      </c>
      <c r="E140" t="s">
        <v>3331</v>
      </c>
    </row>
    <row r="141" spans="1:6" hidden="1">
      <c r="A141" t="s">
        <v>3332</v>
      </c>
      <c r="B141" t="s">
        <v>3333</v>
      </c>
      <c r="C141">
        <v>26302</v>
      </c>
      <c r="D141" t="s">
        <v>3334</v>
      </c>
      <c r="E141" t="s">
        <v>3335</v>
      </c>
    </row>
    <row r="142" spans="1:6" hidden="1">
      <c r="A142" t="s">
        <v>3336</v>
      </c>
      <c r="B142" t="s">
        <v>3235</v>
      </c>
      <c r="C142" t="s">
        <v>3337</v>
      </c>
      <c r="D142" t="s">
        <v>3338</v>
      </c>
      <c r="E142" t="s">
        <v>3339</v>
      </c>
    </row>
    <row r="143" spans="1:6" hidden="1">
      <c r="A143" t="s">
        <v>3340</v>
      </c>
      <c r="B143" t="s">
        <v>2971</v>
      </c>
      <c r="C143">
        <v>411028</v>
      </c>
      <c r="D143" t="s">
        <v>3341</v>
      </c>
      <c r="E143" t="s">
        <v>3342</v>
      </c>
    </row>
    <row r="144" spans="1:6" hidden="1">
      <c r="A144" t="s">
        <v>3343</v>
      </c>
      <c r="B144" t="s">
        <v>2971</v>
      </c>
      <c r="C144">
        <v>414111</v>
      </c>
      <c r="D144" t="s">
        <v>3344</v>
      </c>
      <c r="E144" t="s">
        <v>3345</v>
      </c>
    </row>
    <row r="145" spans="1:6" hidden="1">
      <c r="A145" t="s">
        <v>3346</v>
      </c>
      <c r="B145" t="s">
        <v>3235</v>
      </c>
      <c r="C145" t="s">
        <v>3347</v>
      </c>
      <c r="D145" t="s">
        <v>3348</v>
      </c>
      <c r="E145" t="s">
        <v>3349</v>
      </c>
    </row>
    <row r="146" spans="1:6" hidden="1">
      <c r="A146" t="s">
        <v>3350</v>
      </c>
      <c r="B146" t="s">
        <v>2908</v>
      </c>
      <c r="C146">
        <v>42389</v>
      </c>
      <c r="D146" t="s">
        <v>3242</v>
      </c>
      <c r="E146" t="s">
        <v>3351</v>
      </c>
    </row>
    <row r="147" spans="1:6" hidden="1">
      <c r="A147" t="s">
        <v>3352</v>
      </c>
      <c r="B147" t="s">
        <v>2908</v>
      </c>
      <c r="C147">
        <v>38275</v>
      </c>
      <c r="D147" t="s">
        <v>3353</v>
      </c>
      <c r="E147" t="s">
        <v>3354</v>
      </c>
    </row>
    <row r="148" spans="1:6" hidden="1">
      <c r="A148" t="s">
        <v>3355</v>
      </c>
      <c r="B148" t="s">
        <v>2932</v>
      </c>
      <c r="C148">
        <v>215153</v>
      </c>
      <c r="D148" t="s">
        <v>3356</v>
      </c>
      <c r="E148" t="s">
        <v>3357</v>
      </c>
      <c r="F148" t="s">
        <v>64</v>
      </c>
    </row>
    <row r="149" spans="1:6" hidden="1">
      <c r="A149" t="s">
        <v>3358</v>
      </c>
      <c r="B149" t="s">
        <v>2932</v>
      </c>
      <c r="C149">
        <v>325105</v>
      </c>
      <c r="D149" t="s">
        <v>3038</v>
      </c>
      <c r="E149" t="s">
        <v>3359</v>
      </c>
      <c r="F149" t="s">
        <v>64</v>
      </c>
    </row>
    <row r="150" spans="1:6" hidden="1">
      <c r="A150" t="s">
        <v>3360</v>
      </c>
      <c r="B150" t="s">
        <v>2971</v>
      </c>
      <c r="C150">
        <v>360110</v>
      </c>
      <c r="D150" t="s">
        <v>2975</v>
      </c>
      <c r="E150" t="s">
        <v>3361</v>
      </c>
    </row>
    <row r="151" spans="1:6" hidden="1">
      <c r="A151" t="s">
        <v>3362</v>
      </c>
      <c r="B151" t="s">
        <v>3006</v>
      </c>
      <c r="C151">
        <v>34890</v>
      </c>
      <c r="D151" t="s">
        <v>3249</v>
      </c>
      <c r="E151" t="s">
        <v>3363</v>
      </c>
    </row>
    <row r="152" spans="1:6" hidden="1">
      <c r="A152" t="s">
        <v>3364</v>
      </c>
      <c r="B152" t="s">
        <v>2919</v>
      </c>
      <c r="C152">
        <v>8908</v>
      </c>
      <c r="D152" t="s">
        <v>3365</v>
      </c>
      <c r="E152" t="s">
        <v>3366</v>
      </c>
    </row>
    <row r="153" spans="1:6" hidden="1">
      <c r="A153" t="s">
        <v>3367</v>
      </c>
      <c r="B153" t="s">
        <v>2908</v>
      </c>
      <c r="C153">
        <v>74336</v>
      </c>
      <c r="D153" t="s">
        <v>3368</v>
      </c>
      <c r="E153" t="s">
        <v>3369</v>
      </c>
    </row>
    <row r="154" spans="1:6" hidden="1">
      <c r="A154" t="s">
        <v>3370</v>
      </c>
      <c r="B154" t="s">
        <v>2971</v>
      </c>
      <c r="C154">
        <v>313003</v>
      </c>
      <c r="D154" t="s">
        <v>3371</v>
      </c>
      <c r="E154" t="s">
        <v>3372</v>
      </c>
    </row>
    <row r="155" spans="1:6" hidden="1">
      <c r="A155" t="s">
        <v>3373</v>
      </c>
      <c r="B155" t="s">
        <v>3333</v>
      </c>
      <c r="C155">
        <v>14557</v>
      </c>
      <c r="D155" t="s">
        <v>3374</v>
      </c>
      <c r="E155" t="s">
        <v>3375</v>
      </c>
    </row>
    <row r="156" spans="1:6" hidden="1">
      <c r="A156" t="s">
        <v>3376</v>
      </c>
      <c r="B156" t="s">
        <v>2923</v>
      </c>
      <c r="C156">
        <v>25031</v>
      </c>
      <c r="D156" t="s">
        <v>3377</v>
      </c>
      <c r="E156" t="s">
        <v>3378</v>
      </c>
    </row>
    <row r="157" spans="1:6" hidden="1">
      <c r="A157" t="s">
        <v>3379</v>
      </c>
      <c r="B157" t="s">
        <v>2908</v>
      </c>
      <c r="C157">
        <v>51109</v>
      </c>
      <c r="D157" t="s">
        <v>3380</v>
      </c>
      <c r="E157" t="s">
        <v>3381</v>
      </c>
    </row>
    <row r="158" spans="1:6" hidden="1">
      <c r="A158" t="s">
        <v>3382</v>
      </c>
      <c r="B158" t="s">
        <v>2908</v>
      </c>
      <c r="C158">
        <v>25795</v>
      </c>
      <c r="D158" t="s">
        <v>3383</v>
      </c>
      <c r="E158" t="s">
        <v>3384</v>
      </c>
    </row>
    <row r="159" spans="1:6" hidden="1">
      <c r="A159" t="s">
        <v>3385</v>
      </c>
      <c r="B159" t="s">
        <v>2932</v>
      </c>
      <c r="C159">
        <v>61000</v>
      </c>
      <c r="D159" t="s">
        <v>3112</v>
      </c>
      <c r="E159" t="s">
        <v>3386</v>
      </c>
      <c r="F159" t="s">
        <v>64</v>
      </c>
    </row>
    <row r="160" spans="1:6" hidden="1">
      <c r="A160" t="s">
        <v>3387</v>
      </c>
      <c r="B160" t="s">
        <v>2908</v>
      </c>
      <c r="C160">
        <v>32602</v>
      </c>
      <c r="D160" t="s">
        <v>3388</v>
      </c>
      <c r="E160" t="s">
        <v>3389</v>
      </c>
    </row>
    <row r="161" spans="1:6" hidden="1">
      <c r="A161" t="s">
        <v>3390</v>
      </c>
      <c r="B161" t="s">
        <v>2908</v>
      </c>
      <c r="C161">
        <v>89335</v>
      </c>
      <c r="D161" t="s">
        <v>3391</v>
      </c>
      <c r="E161" t="s">
        <v>3392</v>
      </c>
    </row>
    <row r="162" spans="1:6" hidden="1">
      <c r="A162" t="s">
        <v>3393</v>
      </c>
      <c r="B162" t="s">
        <v>2932</v>
      </c>
      <c r="C162">
        <v>511340</v>
      </c>
      <c r="D162" t="s">
        <v>3394</v>
      </c>
      <c r="E162" t="s">
        <v>3395</v>
      </c>
      <c r="F162" t="s">
        <v>64</v>
      </c>
    </row>
    <row r="163" spans="1:6" hidden="1">
      <c r="A163" t="s">
        <v>3396</v>
      </c>
      <c r="B163" t="s">
        <v>2932</v>
      </c>
      <c r="C163">
        <v>510000</v>
      </c>
      <c r="D163" t="s">
        <v>3397</v>
      </c>
      <c r="E163" t="s">
        <v>3398</v>
      </c>
      <c r="F163" t="s">
        <v>64</v>
      </c>
    </row>
    <row r="164" spans="1:6" hidden="1">
      <c r="A164" t="s">
        <v>3399</v>
      </c>
      <c r="B164" t="s">
        <v>2971</v>
      </c>
      <c r="C164" t="s">
        <v>3400</v>
      </c>
      <c r="D164" t="s">
        <v>3401</v>
      </c>
      <c r="E164" t="s">
        <v>3402</v>
      </c>
    </row>
    <row r="165" spans="1:6" hidden="1">
      <c r="A165" t="s">
        <v>3403</v>
      </c>
      <c r="B165" t="s">
        <v>133</v>
      </c>
      <c r="C165">
        <v>50830</v>
      </c>
      <c r="D165" t="s">
        <v>3404</v>
      </c>
      <c r="E165" t="s">
        <v>3405</v>
      </c>
    </row>
    <row r="166" spans="1:6" hidden="1">
      <c r="A166" t="s">
        <v>3406</v>
      </c>
      <c r="B166" t="s">
        <v>2908</v>
      </c>
      <c r="C166">
        <v>70806</v>
      </c>
      <c r="D166" t="s">
        <v>3407</v>
      </c>
      <c r="E166" t="s">
        <v>3408</v>
      </c>
    </row>
    <row r="167" spans="1:6" hidden="1">
      <c r="A167" t="s">
        <v>3409</v>
      </c>
      <c r="B167" t="s">
        <v>2932</v>
      </c>
      <c r="C167">
        <v>310000</v>
      </c>
      <c r="D167" t="s">
        <v>3410</v>
      </c>
      <c r="E167" t="s">
        <v>3411</v>
      </c>
      <c r="F167" t="s">
        <v>64</v>
      </c>
    </row>
    <row r="168" spans="1:6" hidden="1">
      <c r="A168" t="s">
        <v>3412</v>
      </c>
      <c r="B168" t="s">
        <v>2932</v>
      </c>
      <c r="C168">
        <v>211300</v>
      </c>
      <c r="D168" t="s">
        <v>3413</v>
      </c>
      <c r="E168" t="s">
        <v>3414</v>
      </c>
      <c r="F168" t="s">
        <v>64</v>
      </c>
    </row>
    <row r="169" spans="1:6" hidden="1">
      <c r="A169" t="s">
        <v>3415</v>
      </c>
      <c r="B169" t="s">
        <v>2971</v>
      </c>
      <c r="C169">
        <v>360311</v>
      </c>
      <c r="D169" t="s">
        <v>3416</v>
      </c>
      <c r="E169" t="s">
        <v>3417</v>
      </c>
    </row>
    <row r="170" spans="1:6" hidden="1">
      <c r="A170" t="s">
        <v>3418</v>
      </c>
      <c r="B170" t="s">
        <v>2908</v>
      </c>
      <c r="C170">
        <v>31303</v>
      </c>
      <c r="D170" t="s">
        <v>3419</v>
      </c>
      <c r="E170" t="s">
        <v>3420</v>
      </c>
    </row>
    <row r="171" spans="1:6" hidden="1">
      <c r="A171" t="s">
        <v>3421</v>
      </c>
      <c r="B171" t="s">
        <v>2908</v>
      </c>
      <c r="C171">
        <v>45478</v>
      </c>
      <c r="D171" t="s">
        <v>3422</v>
      </c>
      <c r="E171" t="s">
        <v>3423</v>
      </c>
    </row>
    <row r="172" spans="1:6" hidden="1">
      <c r="A172" t="s">
        <v>3424</v>
      </c>
      <c r="B172" t="s">
        <v>2932</v>
      </c>
      <c r="C172">
        <v>61400</v>
      </c>
      <c r="D172" t="s">
        <v>3425</v>
      </c>
      <c r="E172" t="s">
        <v>3115</v>
      </c>
      <c r="F172" t="s">
        <v>64</v>
      </c>
    </row>
    <row r="173" spans="1:6" hidden="1">
      <c r="A173" t="s">
        <v>3426</v>
      </c>
      <c r="B173" t="s">
        <v>2932</v>
      </c>
      <c r="C173">
        <v>61000</v>
      </c>
      <c r="D173" t="s">
        <v>3112</v>
      </c>
      <c r="E173" t="s">
        <v>3427</v>
      </c>
      <c r="F173" t="s">
        <v>64</v>
      </c>
    </row>
    <row r="174" spans="1:6" hidden="1">
      <c r="A174" t="s">
        <v>3428</v>
      </c>
      <c r="B174" t="s">
        <v>2932</v>
      </c>
      <c r="C174">
        <v>61499</v>
      </c>
      <c r="D174" t="s">
        <v>3112</v>
      </c>
      <c r="E174" t="s">
        <v>3429</v>
      </c>
      <c r="F174" t="s">
        <v>64</v>
      </c>
    </row>
    <row r="175" spans="1:6" hidden="1">
      <c r="A175" t="s">
        <v>3430</v>
      </c>
      <c r="B175" t="s">
        <v>2932</v>
      </c>
      <c r="C175">
        <v>50071</v>
      </c>
      <c r="D175" t="s">
        <v>3431</v>
      </c>
      <c r="E175" t="s">
        <v>3432</v>
      </c>
      <c r="F175" t="s">
        <v>64</v>
      </c>
    </row>
    <row r="176" spans="1:6" hidden="1">
      <c r="A176" t="s">
        <v>3433</v>
      </c>
      <c r="B176" t="s">
        <v>2932</v>
      </c>
      <c r="C176">
        <v>61400</v>
      </c>
      <c r="D176" t="s">
        <v>3434</v>
      </c>
      <c r="E176" t="s">
        <v>3435</v>
      </c>
      <c r="F176" t="s">
        <v>64</v>
      </c>
    </row>
    <row r="177" spans="1:6" hidden="1">
      <c r="A177" t="s">
        <v>3436</v>
      </c>
      <c r="B177" t="s">
        <v>2932</v>
      </c>
      <c r="C177">
        <v>1309020</v>
      </c>
      <c r="D177" t="s">
        <v>3437</v>
      </c>
      <c r="E177" t="s">
        <v>3047</v>
      </c>
      <c r="F177" t="s">
        <v>64</v>
      </c>
    </row>
    <row r="178" spans="1:6" hidden="1">
      <c r="A178" t="s">
        <v>3438</v>
      </c>
      <c r="B178" t="s">
        <v>2908</v>
      </c>
      <c r="C178">
        <v>57413</v>
      </c>
      <c r="D178" t="s">
        <v>3439</v>
      </c>
      <c r="E178" t="s">
        <v>3440</v>
      </c>
    </row>
    <row r="179" spans="1:6" hidden="1">
      <c r="A179" t="s">
        <v>3441</v>
      </c>
      <c r="B179" t="s">
        <v>3006</v>
      </c>
      <c r="C179">
        <v>34522</v>
      </c>
      <c r="D179" t="s">
        <v>3249</v>
      </c>
      <c r="E179" t="s">
        <v>3442</v>
      </c>
    </row>
    <row r="180" spans="1:6" hidden="1">
      <c r="A180" t="s">
        <v>3443</v>
      </c>
      <c r="B180" t="s">
        <v>2932</v>
      </c>
      <c r="C180">
        <v>45001</v>
      </c>
      <c r="D180" t="s">
        <v>3444</v>
      </c>
      <c r="E180" t="s">
        <v>3445</v>
      </c>
      <c r="F180" t="s">
        <v>64</v>
      </c>
    </row>
    <row r="181" spans="1:6" hidden="1">
      <c r="A181" t="s">
        <v>3446</v>
      </c>
      <c r="B181" t="s">
        <v>2908</v>
      </c>
      <c r="C181">
        <v>23843</v>
      </c>
      <c r="D181" t="s">
        <v>3447</v>
      </c>
      <c r="E181" t="s">
        <v>3448</v>
      </c>
    </row>
    <row r="182" spans="1:6" hidden="1">
      <c r="A182" t="s">
        <v>3449</v>
      </c>
      <c r="B182" t="s">
        <v>3278</v>
      </c>
      <c r="C182">
        <v>239</v>
      </c>
      <c r="D182" t="s">
        <v>3450</v>
      </c>
      <c r="E182" t="s">
        <v>3451</v>
      </c>
      <c r="F182" t="s">
        <v>64</v>
      </c>
    </row>
    <row r="183" spans="1:6" hidden="1">
      <c r="A183" t="s">
        <v>3452</v>
      </c>
      <c r="B183" t="s">
        <v>2932</v>
      </c>
      <c r="C183">
        <v>325000</v>
      </c>
      <c r="D183" t="s">
        <v>3038</v>
      </c>
      <c r="E183" t="s">
        <v>3453</v>
      </c>
      <c r="F183" t="s">
        <v>64</v>
      </c>
    </row>
    <row r="184" spans="1:6" hidden="1">
      <c r="A184" t="s">
        <v>3454</v>
      </c>
      <c r="B184" t="s">
        <v>3333</v>
      </c>
      <c r="C184">
        <v>15427</v>
      </c>
      <c r="D184" t="s">
        <v>3455</v>
      </c>
      <c r="E184" t="s">
        <v>3456</v>
      </c>
    </row>
    <row r="185" spans="1:6" hidden="1">
      <c r="A185" t="s">
        <v>3457</v>
      </c>
      <c r="B185" t="s">
        <v>2908</v>
      </c>
      <c r="C185">
        <v>86972</v>
      </c>
      <c r="D185" t="s">
        <v>3458</v>
      </c>
      <c r="E185" t="s">
        <v>3459</v>
      </c>
    </row>
    <row r="186" spans="1:6" hidden="1">
      <c r="A186" t="s">
        <v>3460</v>
      </c>
      <c r="B186" t="s">
        <v>2932</v>
      </c>
      <c r="C186">
        <v>10110</v>
      </c>
      <c r="D186" t="s">
        <v>3461</v>
      </c>
      <c r="E186" t="s">
        <v>3462</v>
      </c>
      <c r="F186" t="s">
        <v>64</v>
      </c>
    </row>
    <row r="187" spans="1:6" hidden="1">
      <c r="A187" t="s">
        <v>3463</v>
      </c>
      <c r="B187" t="s">
        <v>3046</v>
      </c>
      <c r="C187">
        <v>999077</v>
      </c>
      <c r="D187" t="s">
        <v>3464</v>
      </c>
      <c r="E187" t="s">
        <v>3465</v>
      </c>
      <c r="F187" t="s">
        <v>64</v>
      </c>
    </row>
    <row r="188" spans="1:6" hidden="1">
      <c r="A188" t="s">
        <v>3466</v>
      </c>
      <c r="B188" t="s">
        <v>3278</v>
      </c>
      <c r="C188">
        <v>50854</v>
      </c>
      <c r="D188" t="s">
        <v>3467</v>
      </c>
      <c r="E188" t="s">
        <v>3468</v>
      </c>
      <c r="F188" t="s">
        <v>64</v>
      </c>
    </row>
    <row r="189" spans="1:6" hidden="1">
      <c r="A189" t="s">
        <v>3469</v>
      </c>
      <c r="B189" t="s">
        <v>2932</v>
      </c>
      <c r="C189">
        <v>323000</v>
      </c>
      <c r="D189" t="s">
        <v>3470</v>
      </c>
      <c r="E189" t="s">
        <v>3471</v>
      </c>
      <c r="F189" t="s">
        <v>64</v>
      </c>
    </row>
    <row r="190" spans="1:6" hidden="1">
      <c r="A190" t="s">
        <v>3472</v>
      </c>
      <c r="B190" t="s">
        <v>2932</v>
      </c>
      <c r="C190">
        <v>125100</v>
      </c>
      <c r="D190" t="s">
        <v>3473</v>
      </c>
      <c r="E190" t="s">
        <v>3474</v>
      </c>
      <c r="F190" t="s">
        <v>64</v>
      </c>
    </row>
    <row r="191" spans="1:6" hidden="1">
      <c r="A191" t="s">
        <v>3475</v>
      </c>
      <c r="B191" t="s">
        <v>3333</v>
      </c>
      <c r="C191">
        <v>14488</v>
      </c>
      <c r="D191" t="s">
        <v>3476</v>
      </c>
      <c r="E191" t="s">
        <v>3477</v>
      </c>
    </row>
    <row r="192" spans="1:6" hidden="1">
      <c r="A192" t="s">
        <v>3478</v>
      </c>
      <c r="B192" t="s">
        <v>2923</v>
      </c>
      <c r="C192">
        <v>20852</v>
      </c>
      <c r="D192" t="s">
        <v>3479</v>
      </c>
      <c r="E192" t="s">
        <v>3480</v>
      </c>
    </row>
    <row r="193" spans="1:6" hidden="1">
      <c r="A193" t="s">
        <v>3481</v>
      </c>
      <c r="B193" t="s">
        <v>2908</v>
      </c>
      <c r="C193">
        <v>45307</v>
      </c>
      <c r="D193" t="s">
        <v>3482</v>
      </c>
      <c r="E193" t="s">
        <v>3483</v>
      </c>
    </row>
    <row r="194" spans="1:6" hidden="1">
      <c r="A194" t="s">
        <v>3484</v>
      </c>
      <c r="B194" t="s">
        <v>3485</v>
      </c>
      <c r="C194">
        <v>1295</v>
      </c>
      <c r="D194" t="s">
        <v>3486</v>
      </c>
      <c r="E194" t="s">
        <v>3487</v>
      </c>
    </row>
    <row r="195" spans="1:6" hidden="1">
      <c r="A195" t="s">
        <v>3488</v>
      </c>
      <c r="B195" t="s">
        <v>2971</v>
      </c>
      <c r="C195" t="s">
        <v>3489</v>
      </c>
      <c r="D195" t="s">
        <v>3490</v>
      </c>
      <c r="E195" t="s">
        <v>3491</v>
      </c>
    </row>
    <row r="196" spans="1:6" hidden="1">
      <c r="A196" t="s">
        <v>3492</v>
      </c>
      <c r="B196" t="s">
        <v>3333</v>
      </c>
      <c r="C196">
        <v>34026</v>
      </c>
      <c r="D196" t="s">
        <v>3493</v>
      </c>
      <c r="E196" t="s">
        <v>3494</v>
      </c>
    </row>
    <row r="197" spans="1:6" hidden="1">
      <c r="A197" t="s">
        <v>3495</v>
      </c>
      <c r="B197" t="s">
        <v>2971</v>
      </c>
      <c r="C197">
        <v>360030</v>
      </c>
      <c r="D197" t="s">
        <v>2975</v>
      </c>
      <c r="E197" t="s">
        <v>3496</v>
      </c>
    </row>
    <row r="198" spans="1:6" hidden="1">
      <c r="A198" t="s">
        <v>3497</v>
      </c>
      <c r="B198" t="s">
        <v>2919</v>
      </c>
      <c r="C198">
        <v>34200</v>
      </c>
      <c r="D198" t="s">
        <v>3498</v>
      </c>
      <c r="E198" t="s">
        <v>3499</v>
      </c>
    </row>
    <row r="199" spans="1:6" hidden="1">
      <c r="A199" t="s">
        <v>3500</v>
      </c>
      <c r="B199" t="s">
        <v>2971</v>
      </c>
      <c r="C199">
        <v>360024</v>
      </c>
      <c r="D199" t="s">
        <v>3501</v>
      </c>
      <c r="E199" t="s">
        <v>3502</v>
      </c>
    </row>
    <row r="200" spans="1:6" hidden="1">
      <c r="A200" t="s">
        <v>3503</v>
      </c>
      <c r="B200" t="s">
        <v>2927</v>
      </c>
      <c r="C200" t="s">
        <v>3504</v>
      </c>
      <c r="D200" t="s">
        <v>3505</v>
      </c>
      <c r="E200" t="s">
        <v>3506</v>
      </c>
    </row>
    <row r="201" spans="1:6" hidden="1">
      <c r="A201" t="s">
        <v>3507</v>
      </c>
      <c r="B201" t="s">
        <v>2971</v>
      </c>
      <c r="C201">
        <v>360021</v>
      </c>
      <c r="D201" t="s">
        <v>2975</v>
      </c>
      <c r="E201" t="s">
        <v>3508</v>
      </c>
    </row>
    <row r="202" spans="1:6" hidden="1">
      <c r="A202" t="s">
        <v>3509</v>
      </c>
      <c r="B202" t="s">
        <v>2923</v>
      </c>
      <c r="C202">
        <v>24125</v>
      </c>
      <c r="D202" t="s">
        <v>3510</v>
      </c>
      <c r="E202" t="s">
        <v>3511</v>
      </c>
    </row>
    <row r="203" spans="1:6" hidden="1">
      <c r="A203" t="s">
        <v>3512</v>
      </c>
      <c r="B203" t="s">
        <v>2971</v>
      </c>
      <c r="C203">
        <v>700016</v>
      </c>
      <c r="D203" t="s">
        <v>3513</v>
      </c>
      <c r="E203" t="s">
        <v>3514</v>
      </c>
    </row>
    <row r="204" spans="1:6" hidden="1">
      <c r="A204" t="s">
        <v>3515</v>
      </c>
      <c r="B204" t="s">
        <v>2927</v>
      </c>
      <c r="C204" t="s">
        <v>3516</v>
      </c>
      <c r="D204" t="s">
        <v>3517</v>
      </c>
      <c r="E204" t="s">
        <v>3518</v>
      </c>
    </row>
    <row r="205" spans="1:6" hidden="1">
      <c r="A205" t="s">
        <v>3519</v>
      </c>
      <c r="B205" t="s">
        <v>2919</v>
      </c>
      <c r="C205">
        <v>8830</v>
      </c>
      <c r="D205" t="s">
        <v>3520</v>
      </c>
      <c r="E205" t="s">
        <v>3521</v>
      </c>
    </row>
    <row r="206" spans="1:6" hidden="1">
      <c r="A206" t="s">
        <v>3522</v>
      </c>
      <c r="B206" t="s">
        <v>3333</v>
      </c>
      <c r="C206">
        <v>10047</v>
      </c>
      <c r="D206" t="s">
        <v>3523</v>
      </c>
      <c r="E206" t="s">
        <v>3524</v>
      </c>
    </row>
    <row r="207" spans="1:6" hidden="1">
      <c r="A207" t="s">
        <v>3525</v>
      </c>
      <c r="B207" t="s">
        <v>2932</v>
      </c>
      <c r="C207">
        <v>211164</v>
      </c>
      <c r="D207" t="s">
        <v>3526</v>
      </c>
      <c r="E207" t="s">
        <v>3527</v>
      </c>
      <c r="F207" t="s">
        <v>64</v>
      </c>
    </row>
    <row r="208" spans="1:6" hidden="1">
      <c r="A208" t="s">
        <v>3528</v>
      </c>
      <c r="B208" t="s">
        <v>2932</v>
      </c>
      <c r="C208">
        <v>214200</v>
      </c>
      <c r="D208" t="s">
        <v>3529</v>
      </c>
      <c r="E208" t="s">
        <v>3530</v>
      </c>
      <c r="F208" t="s">
        <v>64</v>
      </c>
    </row>
    <row r="209" spans="1:6" hidden="1">
      <c r="A209" t="s">
        <v>3531</v>
      </c>
      <c r="B209" t="s">
        <v>2932</v>
      </c>
      <c r="C209">
        <v>215129</v>
      </c>
      <c r="D209" t="s">
        <v>3532</v>
      </c>
      <c r="E209" t="s">
        <v>3533</v>
      </c>
      <c r="F209" t="s">
        <v>64</v>
      </c>
    </row>
    <row r="210" spans="1:6" hidden="1">
      <c r="A210" t="s">
        <v>3534</v>
      </c>
      <c r="B210" t="s">
        <v>2932</v>
      </c>
      <c r="C210">
        <v>338000</v>
      </c>
      <c r="D210" t="s">
        <v>3535</v>
      </c>
      <c r="E210" t="s">
        <v>3536</v>
      </c>
      <c r="F210" t="s">
        <v>64</v>
      </c>
    </row>
    <row r="211" spans="1:6" hidden="1">
      <c r="A211" t="s">
        <v>3537</v>
      </c>
      <c r="B211" t="s">
        <v>2932</v>
      </c>
      <c r="C211">
        <v>314101</v>
      </c>
      <c r="D211" t="s">
        <v>3538</v>
      </c>
      <c r="E211" t="s">
        <v>3539</v>
      </c>
      <c r="F211" t="s">
        <v>64</v>
      </c>
    </row>
    <row r="212" spans="1:6" hidden="1">
      <c r="A212" t="s">
        <v>3540</v>
      </c>
      <c r="B212" t="s">
        <v>2932</v>
      </c>
      <c r="C212">
        <v>325000</v>
      </c>
      <c r="D212" t="s">
        <v>3050</v>
      </c>
      <c r="E212" t="s">
        <v>3541</v>
      </c>
      <c r="F212" t="s">
        <v>64</v>
      </c>
    </row>
    <row r="213" spans="1:6" hidden="1">
      <c r="A213" t="s">
        <v>3542</v>
      </c>
      <c r="B213" t="s">
        <v>2919</v>
      </c>
      <c r="C213">
        <v>8440</v>
      </c>
      <c r="D213" t="s">
        <v>3543</v>
      </c>
      <c r="E213" t="s">
        <v>3544</v>
      </c>
    </row>
    <row r="214" spans="1:6" hidden="1">
      <c r="A214" t="s">
        <v>3545</v>
      </c>
      <c r="B214" t="s">
        <v>3278</v>
      </c>
      <c r="C214">
        <v>403</v>
      </c>
      <c r="D214" t="s">
        <v>3546</v>
      </c>
      <c r="E214" t="s">
        <v>3547</v>
      </c>
      <c r="F214" t="s">
        <v>64</v>
      </c>
    </row>
    <row r="215" spans="1:6" hidden="1">
      <c r="A215" t="s">
        <v>3548</v>
      </c>
      <c r="B215" t="s">
        <v>2908</v>
      </c>
      <c r="C215">
        <v>70825</v>
      </c>
      <c r="D215" t="s">
        <v>3549</v>
      </c>
      <c r="E215" t="s">
        <v>3408</v>
      </c>
    </row>
    <row r="216" spans="1:6" hidden="1">
      <c r="A216" t="s">
        <v>3550</v>
      </c>
      <c r="B216" t="s">
        <v>2932</v>
      </c>
      <c r="C216">
        <v>325024</v>
      </c>
      <c r="D216" t="s">
        <v>3050</v>
      </c>
      <c r="E216" t="s">
        <v>3551</v>
      </c>
      <c r="F216" t="s">
        <v>64</v>
      </c>
    </row>
    <row r="217" spans="1:6">
      <c r="A217" t="s">
        <v>3552</v>
      </c>
      <c r="B217" t="s">
        <v>311</v>
      </c>
      <c r="C217">
        <v>77478</v>
      </c>
      <c r="D217" t="s">
        <v>3553</v>
      </c>
      <c r="E217" t="s">
        <v>3554</v>
      </c>
    </row>
    <row r="218" spans="1:6" hidden="1">
      <c r="A218" t="s">
        <v>3555</v>
      </c>
      <c r="B218" t="s">
        <v>2932</v>
      </c>
      <c r="C218">
        <v>325025</v>
      </c>
      <c r="D218" t="s">
        <v>3556</v>
      </c>
      <c r="E218" t="s">
        <v>3432</v>
      </c>
      <c r="F218" t="s">
        <v>64</v>
      </c>
    </row>
    <row r="219" spans="1:6" hidden="1">
      <c r="A219" t="s">
        <v>3557</v>
      </c>
      <c r="B219" t="s">
        <v>2908</v>
      </c>
      <c r="C219">
        <v>47533</v>
      </c>
      <c r="D219" t="s">
        <v>3558</v>
      </c>
      <c r="E219" t="s">
        <v>3559</v>
      </c>
    </row>
    <row r="220" spans="1:6" hidden="1">
      <c r="A220" t="s">
        <v>3560</v>
      </c>
      <c r="B220" t="s">
        <v>2971</v>
      </c>
      <c r="C220">
        <v>360030</v>
      </c>
      <c r="D220" t="s">
        <v>2975</v>
      </c>
      <c r="E220" t="s">
        <v>3561</v>
      </c>
    </row>
    <row r="221" spans="1:6" hidden="1">
      <c r="A221" t="s">
        <v>3562</v>
      </c>
      <c r="B221" t="s">
        <v>3278</v>
      </c>
      <c r="C221">
        <v>80284</v>
      </c>
      <c r="D221" t="s">
        <v>3563</v>
      </c>
      <c r="E221" t="s">
        <v>3564</v>
      </c>
      <c r="F221" t="s">
        <v>64</v>
      </c>
    </row>
    <row r="222" spans="1:6" hidden="1">
      <c r="A222" t="s">
        <v>3565</v>
      </c>
      <c r="B222" t="s">
        <v>3015</v>
      </c>
      <c r="C222" t="s">
        <v>3566</v>
      </c>
      <c r="D222" t="s">
        <v>3567</v>
      </c>
      <c r="E222" t="s">
        <v>3568</v>
      </c>
    </row>
    <row r="223" spans="1:6" hidden="1">
      <c r="A223" t="s">
        <v>3569</v>
      </c>
      <c r="B223" t="s">
        <v>2908</v>
      </c>
      <c r="C223">
        <v>44795</v>
      </c>
      <c r="D223" t="s">
        <v>3570</v>
      </c>
      <c r="E223" t="s">
        <v>3571</v>
      </c>
    </row>
    <row r="224" spans="1:6" hidden="1">
      <c r="A224" t="s">
        <v>3572</v>
      </c>
      <c r="B224" t="s">
        <v>2932</v>
      </c>
      <c r="C224">
        <v>325605</v>
      </c>
      <c r="D224" t="s">
        <v>3038</v>
      </c>
      <c r="E224" t="s">
        <v>3573</v>
      </c>
      <c r="F224" t="s">
        <v>64</v>
      </c>
    </row>
    <row r="225" spans="1:6" hidden="1">
      <c r="A225" t="s">
        <v>3574</v>
      </c>
      <c r="B225" t="s">
        <v>3278</v>
      </c>
      <c r="C225">
        <v>43769</v>
      </c>
      <c r="D225" t="s">
        <v>3575</v>
      </c>
      <c r="E225" t="s">
        <v>3576</v>
      </c>
      <c r="F225" t="s">
        <v>64</v>
      </c>
    </row>
    <row r="226" spans="1:6" hidden="1">
      <c r="A226" t="s">
        <v>3577</v>
      </c>
      <c r="B226" t="s">
        <v>3333</v>
      </c>
      <c r="C226">
        <v>15115</v>
      </c>
      <c r="D226" t="s">
        <v>3455</v>
      </c>
      <c r="E226" t="s">
        <v>3578</v>
      </c>
    </row>
    <row r="227" spans="1:6" hidden="1">
      <c r="A227" t="s">
        <v>3579</v>
      </c>
      <c r="B227" t="s">
        <v>2908</v>
      </c>
      <c r="C227">
        <v>67227</v>
      </c>
      <c r="D227" t="s">
        <v>3580</v>
      </c>
      <c r="E227" t="s">
        <v>3581</v>
      </c>
    </row>
    <row r="228" spans="1:6" hidden="1">
      <c r="A228" t="s">
        <v>3582</v>
      </c>
      <c r="B228" t="s">
        <v>2908</v>
      </c>
      <c r="C228">
        <v>47877</v>
      </c>
      <c r="D228" t="s">
        <v>3001</v>
      </c>
      <c r="E228" t="s">
        <v>3077</v>
      </c>
    </row>
    <row r="229" spans="1:6" hidden="1">
      <c r="A229" t="s">
        <v>3583</v>
      </c>
      <c r="B229" t="s">
        <v>2971</v>
      </c>
      <c r="C229">
        <v>600089</v>
      </c>
      <c r="D229" t="s">
        <v>3584</v>
      </c>
      <c r="E229" t="s">
        <v>3585</v>
      </c>
    </row>
    <row r="230" spans="1:6" hidden="1">
      <c r="A230" t="s">
        <v>3586</v>
      </c>
      <c r="B230" t="s">
        <v>2932</v>
      </c>
      <c r="C230">
        <v>261427</v>
      </c>
      <c r="D230" t="s">
        <v>3587</v>
      </c>
      <c r="E230" t="s">
        <v>3588</v>
      </c>
      <c r="F230" t="s">
        <v>64</v>
      </c>
    </row>
    <row r="231" spans="1:6" hidden="1">
      <c r="A231" t="s">
        <v>3589</v>
      </c>
      <c r="B231" t="s">
        <v>3055</v>
      </c>
      <c r="C231">
        <v>91400</v>
      </c>
      <c r="D231" t="s">
        <v>3590</v>
      </c>
      <c r="E231" t="s">
        <v>3591</v>
      </c>
    </row>
    <row r="232" spans="1:6" hidden="1">
      <c r="A232" t="s">
        <v>3592</v>
      </c>
      <c r="B232" t="s">
        <v>2971</v>
      </c>
      <c r="C232">
        <v>144012</v>
      </c>
      <c r="D232" t="s">
        <v>3593</v>
      </c>
      <c r="E232" t="s">
        <v>3594</v>
      </c>
    </row>
    <row r="233" spans="1:6" hidden="1">
      <c r="A233" t="s">
        <v>3595</v>
      </c>
      <c r="B233" t="s">
        <v>3596</v>
      </c>
      <c r="C233">
        <v>3225</v>
      </c>
      <c r="D233" t="s">
        <v>3597</v>
      </c>
      <c r="E233" t="s">
        <v>3598</v>
      </c>
    </row>
    <row r="234" spans="1:6" hidden="1">
      <c r="A234" t="s">
        <v>3599</v>
      </c>
      <c r="B234" t="s">
        <v>2932</v>
      </c>
      <c r="C234">
        <v>201506</v>
      </c>
      <c r="D234" t="s">
        <v>3600</v>
      </c>
      <c r="E234" t="s">
        <v>3601</v>
      </c>
      <c r="F234" t="s">
        <v>64</v>
      </c>
    </row>
    <row r="235" spans="1:6" hidden="1">
      <c r="A235" t="s">
        <v>3602</v>
      </c>
      <c r="B235" t="s">
        <v>2908</v>
      </c>
      <c r="C235">
        <v>58507</v>
      </c>
      <c r="D235" t="s">
        <v>3603</v>
      </c>
      <c r="E235" t="s">
        <v>3604</v>
      </c>
    </row>
    <row r="236" spans="1:6" hidden="1">
      <c r="A236" t="s">
        <v>3605</v>
      </c>
      <c r="B236" t="s">
        <v>2908</v>
      </c>
      <c r="C236">
        <v>20537</v>
      </c>
      <c r="D236" t="s">
        <v>3606</v>
      </c>
      <c r="E236" t="s">
        <v>3607</v>
      </c>
    </row>
    <row r="237" spans="1:6" hidden="1">
      <c r="A237" t="s">
        <v>3608</v>
      </c>
      <c r="B237" t="s">
        <v>2908</v>
      </c>
      <c r="C237">
        <v>58119</v>
      </c>
      <c r="D237" t="s">
        <v>3609</v>
      </c>
      <c r="E237" t="s">
        <v>3610</v>
      </c>
    </row>
    <row r="238" spans="1:6" hidden="1">
      <c r="A238" t="s">
        <v>3611</v>
      </c>
      <c r="B238" t="s">
        <v>2932</v>
      </c>
      <c r="C238">
        <v>325025</v>
      </c>
      <c r="D238" t="s">
        <v>3050</v>
      </c>
      <c r="E238" t="s">
        <v>3612</v>
      </c>
      <c r="F238" t="s">
        <v>64</v>
      </c>
    </row>
    <row r="239" spans="1:6" hidden="1">
      <c r="A239" t="s">
        <v>3613</v>
      </c>
      <c r="B239" t="s">
        <v>2971</v>
      </c>
      <c r="C239">
        <v>400066</v>
      </c>
      <c r="D239" t="s">
        <v>2995</v>
      </c>
      <c r="E239" t="s">
        <v>3614</v>
      </c>
    </row>
    <row r="240" spans="1:6" hidden="1">
      <c r="A240" t="s">
        <v>3615</v>
      </c>
      <c r="B240" t="s">
        <v>2932</v>
      </c>
      <c r="C240">
        <v>323006</v>
      </c>
      <c r="D240" t="s">
        <v>3616</v>
      </c>
      <c r="E240" t="s">
        <v>3617</v>
      </c>
      <c r="F240" t="s">
        <v>64</v>
      </c>
    </row>
    <row r="241" spans="1:6" hidden="1">
      <c r="A241" t="s">
        <v>3618</v>
      </c>
      <c r="B241" t="s">
        <v>2932</v>
      </c>
      <c r="C241">
        <v>325102</v>
      </c>
      <c r="D241" t="s">
        <v>3050</v>
      </c>
      <c r="E241" t="s">
        <v>3619</v>
      </c>
      <c r="F241" t="s">
        <v>64</v>
      </c>
    </row>
    <row r="242" spans="1:6" hidden="1">
      <c r="A242" t="s">
        <v>3620</v>
      </c>
      <c r="B242" t="s">
        <v>2923</v>
      </c>
      <c r="C242">
        <v>24060</v>
      </c>
      <c r="D242" t="s">
        <v>3621</v>
      </c>
      <c r="E242" t="s">
        <v>3622</v>
      </c>
    </row>
    <row r="243" spans="1:6" hidden="1">
      <c r="A243" t="s">
        <v>3623</v>
      </c>
      <c r="B243" t="s">
        <v>2971</v>
      </c>
      <c r="C243">
        <v>411023</v>
      </c>
      <c r="D243" t="s">
        <v>3134</v>
      </c>
      <c r="E243" t="s">
        <v>3624</v>
      </c>
    </row>
    <row r="244" spans="1:6" hidden="1">
      <c r="A244" t="s">
        <v>3625</v>
      </c>
      <c r="B244" t="s">
        <v>2971</v>
      </c>
      <c r="C244">
        <v>641202</v>
      </c>
      <c r="D244" t="s">
        <v>3626</v>
      </c>
      <c r="E244" t="s">
        <v>3627</v>
      </c>
    </row>
    <row r="245" spans="1:6" hidden="1">
      <c r="A245" t="s">
        <v>3628</v>
      </c>
      <c r="B245" t="s">
        <v>2927</v>
      </c>
      <c r="C245" t="s">
        <v>3629</v>
      </c>
      <c r="D245" t="s">
        <v>3630</v>
      </c>
      <c r="E245" t="s">
        <v>3631</v>
      </c>
    </row>
    <row r="246" spans="1:6" hidden="1">
      <c r="A246" t="s">
        <v>3632</v>
      </c>
      <c r="B246" t="s">
        <v>224</v>
      </c>
      <c r="C246" t="s">
        <v>3633</v>
      </c>
      <c r="D246" t="s">
        <v>3634</v>
      </c>
      <c r="E246" t="s">
        <v>3635</v>
      </c>
    </row>
    <row r="247" spans="1:6" hidden="1">
      <c r="A247" t="s">
        <v>3636</v>
      </c>
      <c r="B247" t="s">
        <v>2908</v>
      </c>
      <c r="C247">
        <v>23556</v>
      </c>
      <c r="D247" t="s">
        <v>3637</v>
      </c>
      <c r="E247" t="s">
        <v>3638</v>
      </c>
    </row>
    <row r="248" spans="1:6" hidden="1">
      <c r="A248" t="s">
        <v>3639</v>
      </c>
      <c r="B248" t="s">
        <v>3278</v>
      </c>
      <c r="C248">
        <v>40672</v>
      </c>
      <c r="D248" t="s">
        <v>3575</v>
      </c>
      <c r="E248" t="s">
        <v>3640</v>
      </c>
      <c r="F248" t="s">
        <v>64</v>
      </c>
    </row>
    <row r="249" spans="1:6" hidden="1">
      <c r="A249" t="s">
        <v>3641</v>
      </c>
      <c r="B249" t="s">
        <v>2908</v>
      </c>
      <c r="C249">
        <v>53804</v>
      </c>
      <c r="D249" t="s">
        <v>3642</v>
      </c>
      <c r="E249" t="s">
        <v>3643</v>
      </c>
    </row>
    <row r="250" spans="1:6">
      <c r="A250" t="s">
        <v>3644</v>
      </c>
      <c r="B250" t="s">
        <v>311</v>
      </c>
      <c r="C250">
        <v>77073</v>
      </c>
      <c r="D250" t="s">
        <v>2950</v>
      </c>
      <c r="E250" t="s">
        <v>3645</v>
      </c>
    </row>
    <row r="251" spans="1:6" hidden="1">
      <c r="A251" t="s">
        <v>3646</v>
      </c>
      <c r="B251" t="s">
        <v>224</v>
      </c>
      <c r="C251" t="s">
        <v>3647</v>
      </c>
      <c r="D251" t="s">
        <v>3648</v>
      </c>
      <c r="E251" t="s">
        <v>3649</v>
      </c>
    </row>
    <row r="252" spans="1:6" hidden="1">
      <c r="A252" t="s">
        <v>3650</v>
      </c>
      <c r="B252" t="s">
        <v>2919</v>
      </c>
      <c r="C252">
        <v>8160</v>
      </c>
      <c r="D252" t="s">
        <v>3651</v>
      </c>
      <c r="E252" t="s">
        <v>3652</v>
      </c>
    </row>
    <row r="253" spans="1:6" hidden="1">
      <c r="A253" t="s">
        <v>3653</v>
      </c>
      <c r="B253" t="s">
        <v>2923</v>
      </c>
      <c r="C253">
        <v>20017</v>
      </c>
      <c r="D253" t="s">
        <v>3654</v>
      </c>
      <c r="E253" t="s">
        <v>3655</v>
      </c>
    </row>
    <row r="254" spans="1:6" hidden="1">
      <c r="A254" t="s">
        <v>3656</v>
      </c>
      <c r="B254" t="s">
        <v>2908</v>
      </c>
      <c r="C254">
        <v>41812</v>
      </c>
      <c r="D254" t="s">
        <v>3657</v>
      </c>
      <c r="E254" t="s">
        <v>3658</v>
      </c>
    </row>
    <row r="255" spans="1:6" hidden="1">
      <c r="A255" t="s">
        <v>3659</v>
      </c>
      <c r="B255" t="s">
        <v>2923</v>
      </c>
      <c r="C255">
        <v>20154</v>
      </c>
      <c r="D255" t="s">
        <v>3200</v>
      </c>
      <c r="E255" t="s">
        <v>3660</v>
      </c>
    </row>
    <row r="256" spans="1:6" hidden="1">
      <c r="A256" t="s">
        <v>3661</v>
      </c>
      <c r="B256" t="s">
        <v>1246</v>
      </c>
      <c r="C256">
        <v>7100</v>
      </c>
      <c r="D256" t="s">
        <v>3662</v>
      </c>
      <c r="E256" t="s">
        <v>3663</v>
      </c>
    </row>
    <row r="257" spans="1:6" hidden="1">
      <c r="A257" t="s">
        <v>3664</v>
      </c>
      <c r="B257" t="s">
        <v>2923</v>
      </c>
      <c r="C257">
        <v>20025</v>
      </c>
      <c r="D257" t="s">
        <v>3665</v>
      </c>
      <c r="E257" t="s">
        <v>3666</v>
      </c>
    </row>
    <row r="258" spans="1:6" hidden="1">
      <c r="A258" t="s">
        <v>3667</v>
      </c>
      <c r="B258" t="s">
        <v>2923</v>
      </c>
      <c r="C258">
        <v>20851</v>
      </c>
      <c r="D258" t="s">
        <v>3668</v>
      </c>
      <c r="E258" t="s">
        <v>3669</v>
      </c>
    </row>
    <row r="259" spans="1:6" hidden="1">
      <c r="A259" t="s">
        <v>3670</v>
      </c>
      <c r="B259" t="s">
        <v>2927</v>
      </c>
      <c r="C259" t="s">
        <v>3671</v>
      </c>
      <c r="D259" t="s">
        <v>3672</v>
      </c>
      <c r="E259" t="s">
        <v>3673</v>
      </c>
    </row>
    <row r="260" spans="1:6">
      <c r="A260" t="s">
        <v>3674</v>
      </c>
      <c r="B260" t="s">
        <v>311</v>
      </c>
      <c r="C260">
        <v>77010</v>
      </c>
      <c r="D260" t="s">
        <v>2950</v>
      </c>
      <c r="E260" t="s">
        <v>3675</v>
      </c>
    </row>
    <row r="261" spans="1:6" hidden="1">
      <c r="A261" t="s">
        <v>3676</v>
      </c>
      <c r="B261" t="s">
        <v>2908</v>
      </c>
      <c r="C261">
        <v>74670</v>
      </c>
      <c r="D261" t="s">
        <v>3677</v>
      </c>
      <c r="E261" t="s">
        <v>3678</v>
      </c>
    </row>
    <row r="262" spans="1:6" hidden="1">
      <c r="A262" t="s">
        <v>3679</v>
      </c>
      <c r="B262" t="s">
        <v>2908</v>
      </c>
      <c r="C262">
        <v>74670</v>
      </c>
      <c r="D262" t="s">
        <v>3677</v>
      </c>
      <c r="E262" t="s">
        <v>3678</v>
      </c>
    </row>
    <row r="263" spans="1:6" hidden="1">
      <c r="A263" t="s">
        <v>3680</v>
      </c>
      <c r="B263" t="s">
        <v>2908</v>
      </c>
      <c r="C263">
        <v>30179</v>
      </c>
      <c r="D263" t="s">
        <v>3681</v>
      </c>
      <c r="E263" t="s">
        <v>3682</v>
      </c>
    </row>
    <row r="264" spans="1:6" hidden="1">
      <c r="A264" t="s">
        <v>3683</v>
      </c>
      <c r="B264" t="s">
        <v>2932</v>
      </c>
      <c r="C264">
        <v>215129</v>
      </c>
      <c r="D264" t="s">
        <v>3684</v>
      </c>
      <c r="E264" t="s">
        <v>3685</v>
      </c>
      <c r="F264" t="s">
        <v>64</v>
      </c>
    </row>
    <row r="265" spans="1:6" hidden="1">
      <c r="A265" t="s">
        <v>3686</v>
      </c>
      <c r="B265" t="s">
        <v>2932</v>
      </c>
      <c r="C265">
        <v>325105</v>
      </c>
      <c r="D265" t="s">
        <v>3038</v>
      </c>
      <c r="E265" t="s">
        <v>3687</v>
      </c>
      <c r="F265" t="s">
        <v>64</v>
      </c>
    </row>
    <row r="266" spans="1:6" hidden="1">
      <c r="A266" t="s">
        <v>3688</v>
      </c>
      <c r="B266" t="s">
        <v>2908</v>
      </c>
      <c r="C266">
        <v>74354</v>
      </c>
      <c r="D266" t="s">
        <v>3689</v>
      </c>
      <c r="E266" t="s">
        <v>3690</v>
      </c>
    </row>
    <row r="267" spans="1:6" hidden="1">
      <c r="A267" t="s">
        <v>3691</v>
      </c>
      <c r="B267" t="s">
        <v>2932</v>
      </c>
      <c r="C267">
        <v>315500</v>
      </c>
      <c r="D267" t="s">
        <v>3692</v>
      </c>
      <c r="E267" t="s">
        <v>3693</v>
      </c>
      <c r="F267" t="s">
        <v>64</v>
      </c>
    </row>
    <row r="268" spans="1:6" hidden="1">
      <c r="A268" t="s">
        <v>3694</v>
      </c>
      <c r="B268" t="s">
        <v>3015</v>
      </c>
      <c r="C268" t="s">
        <v>3695</v>
      </c>
      <c r="D268" t="s">
        <v>3567</v>
      </c>
      <c r="E268" t="s">
        <v>3696</v>
      </c>
    </row>
    <row r="269" spans="1:6" hidden="1">
      <c r="A269" t="s">
        <v>3697</v>
      </c>
      <c r="B269" t="s">
        <v>2908</v>
      </c>
      <c r="C269">
        <v>85622</v>
      </c>
      <c r="D269" t="s">
        <v>3698</v>
      </c>
      <c r="E269" t="s">
        <v>3699</v>
      </c>
    </row>
    <row r="270" spans="1:6" hidden="1">
      <c r="A270" t="s">
        <v>3700</v>
      </c>
      <c r="B270" t="s">
        <v>3333</v>
      </c>
      <c r="C270">
        <v>22850</v>
      </c>
      <c r="D270" t="s">
        <v>3701</v>
      </c>
      <c r="E270" t="s">
        <v>3702</v>
      </c>
    </row>
    <row r="271" spans="1:6" hidden="1">
      <c r="A271" t="s">
        <v>3703</v>
      </c>
      <c r="B271" t="s">
        <v>2927</v>
      </c>
      <c r="C271" t="s">
        <v>3704</v>
      </c>
      <c r="D271" t="s">
        <v>3630</v>
      </c>
      <c r="E271" t="s">
        <v>3705</v>
      </c>
    </row>
    <row r="272" spans="1:6" hidden="1">
      <c r="A272" t="s">
        <v>3706</v>
      </c>
      <c r="B272" t="s">
        <v>3235</v>
      </c>
      <c r="C272" t="s">
        <v>3236</v>
      </c>
      <c r="D272" t="s">
        <v>3237</v>
      </c>
      <c r="E272" t="s">
        <v>3238</v>
      </c>
    </row>
    <row r="273" spans="1:6" hidden="1">
      <c r="A273" t="s">
        <v>3707</v>
      </c>
      <c r="B273" t="s">
        <v>2908</v>
      </c>
      <c r="C273">
        <v>39397</v>
      </c>
      <c r="D273" t="s">
        <v>3708</v>
      </c>
      <c r="E273" t="s">
        <v>3709</v>
      </c>
    </row>
    <row r="274" spans="1:6" hidden="1">
      <c r="A274" t="s">
        <v>3710</v>
      </c>
      <c r="B274" t="s">
        <v>2932</v>
      </c>
      <c r="C274">
        <v>325103</v>
      </c>
      <c r="D274" t="s">
        <v>3050</v>
      </c>
      <c r="E274" t="s">
        <v>3711</v>
      </c>
      <c r="F274" t="s">
        <v>64</v>
      </c>
    </row>
    <row r="275" spans="1:6" hidden="1">
      <c r="A275" t="s">
        <v>3712</v>
      </c>
      <c r="B275" t="s">
        <v>2923</v>
      </c>
      <c r="C275">
        <v>29010</v>
      </c>
      <c r="D275" t="s">
        <v>3713</v>
      </c>
      <c r="E275" t="s">
        <v>3714</v>
      </c>
    </row>
    <row r="276" spans="1:6" hidden="1">
      <c r="A276" t="s">
        <v>3715</v>
      </c>
      <c r="B276" t="s">
        <v>2932</v>
      </c>
      <c r="C276">
        <v>201611</v>
      </c>
      <c r="D276" t="s">
        <v>3600</v>
      </c>
      <c r="E276" t="s">
        <v>3716</v>
      </c>
      <c r="F276" t="s">
        <v>64</v>
      </c>
    </row>
    <row r="277" spans="1:6" hidden="1">
      <c r="A277" t="s">
        <v>3717</v>
      </c>
      <c r="B277" t="s">
        <v>2908</v>
      </c>
      <c r="C277">
        <v>63674</v>
      </c>
      <c r="D277" t="s">
        <v>3458</v>
      </c>
      <c r="E277" t="s">
        <v>3718</v>
      </c>
    </row>
    <row r="278" spans="1:6" hidden="1">
      <c r="A278" t="s">
        <v>3719</v>
      </c>
      <c r="B278" t="s">
        <v>2923</v>
      </c>
      <c r="C278">
        <v>25050</v>
      </c>
      <c r="D278" t="s">
        <v>3720</v>
      </c>
      <c r="E278" t="s">
        <v>2925</v>
      </c>
    </row>
    <row r="279" spans="1:6" hidden="1">
      <c r="A279" t="s">
        <v>3721</v>
      </c>
      <c r="B279" t="s">
        <v>2923</v>
      </c>
      <c r="C279">
        <v>20051</v>
      </c>
      <c r="D279" t="s">
        <v>3722</v>
      </c>
      <c r="E279" t="s">
        <v>3723</v>
      </c>
    </row>
    <row r="280" spans="1:6" hidden="1">
      <c r="A280" t="s">
        <v>3724</v>
      </c>
      <c r="B280" t="s">
        <v>2540</v>
      </c>
      <c r="C280">
        <v>10255</v>
      </c>
      <c r="D280" t="s">
        <v>3725</v>
      </c>
      <c r="E280" t="s">
        <v>3726</v>
      </c>
    </row>
    <row r="281" spans="1:6" hidden="1">
      <c r="A281" t="s">
        <v>3727</v>
      </c>
      <c r="B281" t="s">
        <v>2919</v>
      </c>
      <c r="C281">
        <v>20270</v>
      </c>
      <c r="D281" t="s">
        <v>3728</v>
      </c>
      <c r="E281" t="s">
        <v>3729</v>
      </c>
    </row>
    <row r="282" spans="1:6" hidden="1">
      <c r="A282" t="s">
        <v>3730</v>
      </c>
      <c r="B282" t="s">
        <v>2971</v>
      </c>
      <c r="C282">
        <v>360311</v>
      </c>
      <c r="D282" t="s">
        <v>2975</v>
      </c>
      <c r="E282" t="s">
        <v>3731</v>
      </c>
    </row>
    <row r="283" spans="1:6" hidden="1">
      <c r="A283" t="s">
        <v>3732</v>
      </c>
      <c r="B283" t="s">
        <v>2932</v>
      </c>
      <c r="C283">
        <v>325024</v>
      </c>
      <c r="D283" t="s">
        <v>3050</v>
      </c>
      <c r="E283" t="s">
        <v>3733</v>
      </c>
      <c r="F283" t="s">
        <v>64</v>
      </c>
    </row>
    <row r="284" spans="1:6" hidden="1">
      <c r="A284" t="s">
        <v>3734</v>
      </c>
      <c r="B284" t="s">
        <v>2932</v>
      </c>
      <c r="C284">
        <v>325105</v>
      </c>
      <c r="D284" t="s">
        <v>3038</v>
      </c>
      <c r="E284" t="s">
        <v>3735</v>
      </c>
      <c r="F284" t="s">
        <v>64</v>
      </c>
    </row>
    <row r="285" spans="1:6" hidden="1">
      <c r="A285" t="s">
        <v>3736</v>
      </c>
      <c r="B285" t="s">
        <v>3737</v>
      </c>
      <c r="C285">
        <v>4201</v>
      </c>
      <c r="D285" t="s">
        <v>3738</v>
      </c>
      <c r="E285" t="s">
        <v>3739</v>
      </c>
    </row>
    <row r="286" spans="1:6" hidden="1">
      <c r="A286" t="s">
        <v>3740</v>
      </c>
      <c r="B286" t="s">
        <v>2919</v>
      </c>
      <c r="C286">
        <v>8160</v>
      </c>
      <c r="D286" t="s">
        <v>3741</v>
      </c>
      <c r="E286" t="s">
        <v>3742</v>
      </c>
    </row>
    <row r="287" spans="1:6" hidden="1">
      <c r="A287" t="s">
        <v>3743</v>
      </c>
      <c r="B287" t="s">
        <v>2932</v>
      </c>
      <c r="C287">
        <v>265601</v>
      </c>
      <c r="D287" t="s">
        <v>3744</v>
      </c>
      <c r="E287" t="s">
        <v>3745</v>
      </c>
      <c r="F287" t="s">
        <v>64</v>
      </c>
    </row>
    <row r="288" spans="1:6" hidden="1">
      <c r="A288" t="s">
        <v>3746</v>
      </c>
      <c r="B288" t="s">
        <v>2923</v>
      </c>
      <c r="C288">
        <v>25080</v>
      </c>
      <c r="D288" t="s">
        <v>3747</v>
      </c>
      <c r="E288" t="s">
        <v>3748</v>
      </c>
    </row>
    <row r="289" spans="1:6" hidden="1">
      <c r="A289" t="s">
        <v>3749</v>
      </c>
      <c r="B289" t="s">
        <v>2908</v>
      </c>
      <c r="C289">
        <v>34471</v>
      </c>
      <c r="D289" t="s">
        <v>3750</v>
      </c>
      <c r="E289" t="s">
        <v>3751</v>
      </c>
    </row>
    <row r="290" spans="1:6" hidden="1">
      <c r="A290" t="s">
        <v>3752</v>
      </c>
      <c r="B290" t="s">
        <v>2971</v>
      </c>
      <c r="C290">
        <v>360024</v>
      </c>
      <c r="D290" t="s">
        <v>2975</v>
      </c>
      <c r="E290" t="s">
        <v>3753</v>
      </c>
    </row>
    <row r="291" spans="1:6" hidden="1">
      <c r="A291" t="s">
        <v>3754</v>
      </c>
      <c r="B291" t="s">
        <v>2923</v>
      </c>
      <c r="C291">
        <v>95041</v>
      </c>
      <c r="D291" t="s">
        <v>3755</v>
      </c>
      <c r="E291" t="s">
        <v>3756</v>
      </c>
    </row>
    <row r="292" spans="1:6" hidden="1">
      <c r="A292" t="s">
        <v>3757</v>
      </c>
      <c r="B292" t="s">
        <v>2908</v>
      </c>
      <c r="C292">
        <v>58456</v>
      </c>
      <c r="D292" t="s">
        <v>3758</v>
      </c>
      <c r="E292" t="s">
        <v>3759</v>
      </c>
    </row>
    <row r="293" spans="1:6" hidden="1">
      <c r="A293" t="s">
        <v>3760</v>
      </c>
      <c r="B293" t="s">
        <v>3761</v>
      </c>
      <c r="C293">
        <v>637369</v>
      </c>
      <c r="D293" t="s">
        <v>3762</v>
      </c>
      <c r="E293" t="s">
        <v>3763</v>
      </c>
    </row>
    <row r="294" spans="1:6" hidden="1">
      <c r="A294" t="s">
        <v>3764</v>
      </c>
      <c r="B294" t="s">
        <v>3006</v>
      </c>
      <c r="C294">
        <v>59860</v>
      </c>
      <c r="D294" t="s">
        <v>3765</v>
      </c>
      <c r="E294" t="s">
        <v>3766</v>
      </c>
    </row>
    <row r="295" spans="1:6" hidden="1">
      <c r="A295" t="s">
        <v>3767</v>
      </c>
      <c r="B295" t="s">
        <v>3485</v>
      </c>
      <c r="C295">
        <v>4226</v>
      </c>
      <c r="D295" t="s">
        <v>3768</v>
      </c>
      <c r="E295" t="s">
        <v>3769</v>
      </c>
    </row>
    <row r="296" spans="1:6" hidden="1">
      <c r="A296" t="s">
        <v>3770</v>
      </c>
      <c r="B296" t="s">
        <v>3333</v>
      </c>
      <c r="C296">
        <v>21639</v>
      </c>
      <c r="D296" t="s">
        <v>3701</v>
      </c>
      <c r="E296" t="s">
        <v>3771</v>
      </c>
    </row>
    <row r="297" spans="1:6" hidden="1">
      <c r="A297" t="s">
        <v>3772</v>
      </c>
      <c r="B297" t="s">
        <v>224</v>
      </c>
      <c r="C297" t="s">
        <v>3773</v>
      </c>
      <c r="D297" t="s">
        <v>3774</v>
      </c>
      <c r="E297" t="s">
        <v>3775</v>
      </c>
    </row>
    <row r="298" spans="1:6" hidden="1">
      <c r="A298" t="s">
        <v>3776</v>
      </c>
      <c r="B298" t="s">
        <v>2932</v>
      </c>
      <c r="C298">
        <v>310030</v>
      </c>
      <c r="D298" t="s">
        <v>3777</v>
      </c>
      <c r="E298" t="s">
        <v>3778</v>
      </c>
      <c r="F298" t="s">
        <v>64</v>
      </c>
    </row>
    <row r="299" spans="1:6" hidden="1">
      <c r="A299" t="s">
        <v>3779</v>
      </c>
      <c r="B299" t="s">
        <v>3761</v>
      </c>
      <c r="C299">
        <v>68902</v>
      </c>
      <c r="D299" t="s">
        <v>3762</v>
      </c>
      <c r="E299" t="s">
        <v>3398</v>
      </c>
    </row>
    <row r="300" spans="1:6" hidden="1">
      <c r="A300" t="s">
        <v>3780</v>
      </c>
      <c r="B300" t="s">
        <v>2908</v>
      </c>
      <c r="C300">
        <v>76829</v>
      </c>
      <c r="D300" t="s">
        <v>3781</v>
      </c>
      <c r="E300" t="s">
        <v>3782</v>
      </c>
    </row>
    <row r="301" spans="1:6" hidden="1">
      <c r="A301" t="s">
        <v>3783</v>
      </c>
      <c r="B301" t="s">
        <v>2927</v>
      </c>
      <c r="C301" t="s">
        <v>3784</v>
      </c>
      <c r="D301" t="s">
        <v>3785</v>
      </c>
      <c r="E301" t="s">
        <v>3786</v>
      </c>
    </row>
    <row r="302" spans="1:6" hidden="1">
      <c r="A302" t="s">
        <v>3787</v>
      </c>
      <c r="B302" t="s">
        <v>2908</v>
      </c>
      <c r="C302">
        <v>82054</v>
      </c>
      <c r="D302" t="s">
        <v>3788</v>
      </c>
      <c r="E302" t="s">
        <v>3789</v>
      </c>
    </row>
    <row r="303" spans="1:6" hidden="1">
      <c r="A303" t="s">
        <v>3790</v>
      </c>
      <c r="B303" t="s">
        <v>2908</v>
      </c>
      <c r="C303">
        <v>56307</v>
      </c>
      <c r="D303" t="s">
        <v>3791</v>
      </c>
      <c r="E303" t="s">
        <v>3792</v>
      </c>
    </row>
    <row r="304" spans="1:6" hidden="1">
      <c r="A304" t="s">
        <v>3793</v>
      </c>
      <c r="B304" t="s">
        <v>2908</v>
      </c>
      <c r="C304">
        <v>67098</v>
      </c>
      <c r="D304" t="s">
        <v>3794</v>
      </c>
      <c r="E304" t="s">
        <v>3795</v>
      </c>
    </row>
    <row r="305" spans="1:6" hidden="1">
      <c r="A305" t="s">
        <v>3796</v>
      </c>
      <c r="B305" t="s">
        <v>2971</v>
      </c>
      <c r="C305">
        <v>412105</v>
      </c>
      <c r="D305" t="s">
        <v>3134</v>
      </c>
      <c r="E305" t="s">
        <v>3797</v>
      </c>
    </row>
    <row r="306" spans="1:6" hidden="1">
      <c r="A306" t="s">
        <v>3798</v>
      </c>
      <c r="B306" t="s">
        <v>2932</v>
      </c>
      <c r="C306">
        <v>266228</v>
      </c>
      <c r="D306" t="s">
        <v>3799</v>
      </c>
      <c r="E306" t="s">
        <v>3800</v>
      </c>
      <c r="F306" t="s">
        <v>64</v>
      </c>
    </row>
    <row r="307" spans="1:6" hidden="1">
      <c r="A307" t="s">
        <v>3801</v>
      </c>
      <c r="B307" t="s">
        <v>2932</v>
      </c>
      <c r="C307">
        <v>262100</v>
      </c>
      <c r="D307" t="s">
        <v>3802</v>
      </c>
      <c r="E307" t="s">
        <v>3803</v>
      </c>
      <c r="F307" t="s">
        <v>64</v>
      </c>
    </row>
    <row r="308" spans="1:6" hidden="1">
      <c r="A308" t="s">
        <v>3804</v>
      </c>
      <c r="B308" t="s">
        <v>2932</v>
      </c>
      <c r="C308">
        <v>325105</v>
      </c>
      <c r="D308" t="s">
        <v>3038</v>
      </c>
      <c r="E308" t="s">
        <v>3805</v>
      </c>
      <c r="F308" t="s">
        <v>64</v>
      </c>
    </row>
    <row r="309" spans="1:6" hidden="1">
      <c r="A309" t="s">
        <v>3806</v>
      </c>
      <c r="B309" t="s">
        <v>2971</v>
      </c>
      <c r="C309">
        <v>360024</v>
      </c>
      <c r="D309" t="s">
        <v>3401</v>
      </c>
      <c r="E309" t="s">
        <v>3807</v>
      </c>
    </row>
    <row r="310" spans="1:6" hidden="1">
      <c r="A310" t="s">
        <v>3808</v>
      </c>
      <c r="B310" t="s">
        <v>2971</v>
      </c>
      <c r="C310" t="s">
        <v>3400</v>
      </c>
      <c r="D310" t="s">
        <v>3401</v>
      </c>
      <c r="E310" t="s">
        <v>3809</v>
      </c>
    </row>
    <row r="311" spans="1:6">
      <c r="A311" t="s">
        <v>3810</v>
      </c>
      <c r="B311" t="s">
        <v>311</v>
      </c>
      <c r="C311">
        <v>77064</v>
      </c>
      <c r="D311" t="s">
        <v>3811</v>
      </c>
      <c r="E311" t="s">
        <v>3812</v>
      </c>
    </row>
    <row r="312" spans="1:6" hidden="1">
      <c r="A312" t="s">
        <v>3813</v>
      </c>
      <c r="B312" t="s">
        <v>3814</v>
      </c>
      <c r="C312">
        <v>9819</v>
      </c>
      <c r="D312" t="s">
        <v>3815</v>
      </c>
      <c r="E312" t="s">
        <v>3816</v>
      </c>
    </row>
    <row r="313" spans="1:6" hidden="1">
      <c r="A313" t="s">
        <v>3817</v>
      </c>
      <c r="B313" t="s">
        <v>2908</v>
      </c>
      <c r="C313">
        <v>47906</v>
      </c>
      <c r="D313" t="s">
        <v>3818</v>
      </c>
      <c r="E313" t="s">
        <v>3819</v>
      </c>
    </row>
    <row r="314" spans="1:6" hidden="1">
      <c r="A314" t="s">
        <v>3820</v>
      </c>
      <c r="B314" t="s">
        <v>2908</v>
      </c>
      <c r="C314">
        <v>40489</v>
      </c>
      <c r="D314" t="s">
        <v>3068</v>
      </c>
      <c r="E314" t="s">
        <v>3821</v>
      </c>
    </row>
    <row r="315" spans="1:6" hidden="1">
      <c r="A315" t="s">
        <v>3822</v>
      </c>
      <c r="B315" t="s">
        <v>2927</v>
      </c>
      <c r="C315" t="s">
        <v>3823</v>
      </c>
      <c r="D315" t="s">
        <v>3824</v>
      </c>
      <c r="E315" t="s">
        <v>3825</v>
      </c>
    </row>
    <row r="316" spans="1:6" hidden="1">
      <c r="A316" t="s">
        <v>3826</v>
      </c>
      <c r="B316" t="s">
        <v>2908</v>
      </c>
      <c r="C316">
        <v>76275</v>
      </c>
      <c r="D316" t="s">
        <v>2939</v>
      </c>
      <c r="E316" t="s">
        <v>3827</v>
      </c>
    </row>
    <row r="317" spans="1:6" hidden="1">
      <c r="A317" t="s">
        <v>3828</v>
      </c>
      <c r="B317" t="s">
        <v>2971</v>
      </c>
      <c r="C317">
        <v>400701</v>
      </c>
      <c r="D317" t="s">
        <v>3829</v>
      </c>
      <c r="E317" t="s">
        <v>3830</v>
      </c>
    </row>
    <row r="318" spans="1:6" hidden="1">
      <c r="A318" t="s">
        <v>3831</v>
      </c>
      <c r="B318" t="s">
        <v>2915</v>
      </c>
      <c r="C318" t="s">
        <v>3832</v>
      </c>
      <c r="D318" t="s">
        <v>3833</v>
      </c>
      <c r="E318" t="s">
        <v>3834</v>
      </c>
    </row>
    <row r="319" spans="1:6" hidden="1">
      <c r="A319" t="s">
        <v>3835</v>
      </c>
      <c r="B319" t="s">
        <v>2927</v>
      </c>
      <c r="C319" t="s">
        <v>3836</v>
      </c>
      <c r="D319" t="s">
        <v>3837</v>
      </c>
      <c r="E319" t="s">
        <v>3838</v>
      </c>
    </row>
    <row r="320" spans="1:6" hidden="1">
      <c r="A320" t="s">
        <v>3839</v>
      </c>
      <c r="B320" t="s">
        <v>2908</v>
      </c>
      <c r="C320">
        <v>74653</v>
      </c>
      <c r="D320" t="s">
        <v>3840</v>
      </c>
      <c r="E320" t="s">
        <v>3841</v>
      </c>
    </row>
    <row r="321" spans="1:8" hidden="1">
      <c r="A321" t="s">
        <v>3842</v>
      </c>
      <c r="B321" t="s">
        <v>3333</v>
      </c>
      <c r="C321">
        <v>31061</v>
      </c>
      <c r="D321" t="s">
        <v>3843</v>
      </c>
      <c r="E321" t="s">
        <v>3844</v>
      </c>
    </row>
    <row r="322" spans="1:8" hidden="1">
      <c r="A322" t="s">
        <v>3845</v>
      </c>
      <c r="B322" t="s">
        <v>3055</v>
      </c>
      <c r="C322">
        <v>80400</v>
      </c>
      <c r="D322" t="s">
        <v>3846</v>
      </c>
      <c r="E322" t="s">
        <v>3847</v>
      </c>
    </row>
    <row r="323" spans="1:8" hidden="1">
      <c r="A323" t="s">
        <v>3848</v>
      </c>
      <c r="B323" t="s">
        <v>3055</v>
      </c>
      <c r="C323">
        <v>59320</v>
      </c>
      <c r="D323" t="s">
        <v>3849</v>
      </c>
      <c r="E323" t="s">
        <v>3850</v>
      </c>
    </row>
    <row r="324" spans="1:8" hidden="1">
      <c r="A324" t="s">
        <v>3851</v>
      </c>
      <c r="B324" t="s">
        <v>3852</v>
      </c>
      <c r="C324">
        <v>1230</v>
      </c>
      <c r="D324" t="s">
        <v>3853</v>
      </c>
      <c r="E324" t="s">
        <v>3854</v>
      </c>
    </row>
    <row r="325" spans="1:8" hidden="1">
      <c r="A325" t="s">
        <v>3855</v>
      </c>
      <c r="B325" t="s">
        <v>2927</v>
      </c>
      <c r="C325" t="s">
        <v>3856</v>
      </c>
      <c r="D325" t="s">
        <v>3857</v>
      </c>
      <c r="E325" t="s">
        <v>3858</v>
      </c>
      <c r="F325" t="s">
        <v>36</v>
      </c>
      <c r="G325" t="s">
        <v>36</v>
      </c>
      <c r="H325" t="s">
        <v>3859</v>
      </c>
    </row>
    <row r="326" spans="1:8" hidden="1">
      <c r="A326" t="s">
        <v>3860</v>
      </c>
      <c r="B326" t="s">
        <v>2923</v>
      </c>
      <c r="C326">
        <v>24060</v>
      </c>
      <c r="D326" t="s">
        <v>3861</v>
      </c>
      <c r="E326" t="s">
        <v>3862</v>
      </c>
    </row>
    <row r="327" spans="1:8" hidden="1">
      <c r="A327" t="s">
        <v>3863</v>
      </c>
      <c r="B327" t="s">
        <v>2927</v>
      </c>
      <c r="C327" t="s">
        <v>3864</v>
      </c>
      <c r="D327" t="s">
        <v>3865</v>
      </c>
      <c r="E327" t="s">
        <v>3866</v>
      </c>
    </row>
    <row r="328" spans="1:8" hidden="1">
      <c r="A328" t="s">
        <v>3867</v>
      </c>
      <c r="B328" t="s">
        <v>2932</v>
      </c>
      <c r="C328">
        <v>266071</v>
      </c>
      <c r="D328" t="s">
        <v>3868</v>
      </c>
      <c r="E328" t="s">
        <v>3869</v>
      </c>
      <c r="F328" t="s">
        <v>64</v>
      </c>
    </row>
    <row r="329" spans="1:8" hidden="1">
      <c r="A329" t="s">
        <v>3870</v>
      </c>
      <c r="B329" t="s">
        <v>2932</v>
      </c>
      <c r="C329">
        <v>201815</v>
      </c>
      <c r="D329" t="s">
        <v>3600</v>
      </c>
      <c r="E329" t="s">
        <v>3871</v>
      </c>
      <c r="F329" t="s">
        <v>64</v>
      </c>
    </row>
    <row r="330" spans="1:8" hidden="1">
      <c r="A330" t="s">
        <v>3872</v>
      </c>
      <c r="B330" t="s">
        <v>2932</v>
      </c>
      <c r="D330" t="s">
        <v>3038</v>
      </c>
      <c r="E330" t="s">
        <v>3873</v>
      </c>
      <c r="F330" t="s">
        <v>64</v>
      </c>
    </row>
    <row r="331" spans="1:8" hidden="1">
      <c r="A331" t="s">
        <v>3874</v>
      </c>
      <c r="B331" t="s">
        <v>2932</v>
      </c>
      <c r="C331">
        <v>35400</v>
      </c>
      <c r="D331" t="s">
        <v>3875</v>
      </c>
      <c r="E331" t="s">
        <v>3104</v>
      </c>
      <c r="F331" t="s">
        <v>64</v>
      </c>
    </row>
    <row r="332" spans="1:8" hidden="1">
      <c r="A332" t="s">
        <v>3876</v>
      </c>
      <c r="B332" t="s">
        <v>2971</v>
      </c>
      <c r="C332">
        <v>360021</v>
      </c>
      <c r="D332" t="s">
        <v>3401</v>
      </c>
      <c r="E332" t="s">
        <v>3877</v>
      </c>
    </row>
    <row r="333" spans="1:8" hidden="1">
      <c r="A333" t="s">
        <v>3878</v>
      </c>
      <c r="B333" t="s">
        <v>2971</v>
      </c>
      <c r="C333">
        <v>382225</v>
      </c>
      <c r="D333" t="s">
        <v>2984</v>
      </c>
      <c r="E333" t="s">
        <v>3879</v>
      </c>
    </row>
    <row r="334" spans="1:8" hidden="1">
      <c r="A334" t="s">
        <v>3880</v>
      </c>
      <c r="B334" t="s">
        <v>2971</v>
      </c>
      <c r="C334">
        <v>410501</v>
      </c>
      <c r="D334" t="s">
        <v>3134</v>
      </c>
      <c r="E334" t="s">
        <v>3881</v>
      </c>
    </row>
    <row r="335" spans="1:8" hidden="1">
      <c r="A335" t="s">
        <v>3882</v>
      </c>
      <c r="B335" t="s">
        <v>2971</v>
      </c>
      <c r="C335">
        <v>360021</v>
      </c>
      <c r="D335" t="s">
        <v>2975</v>
      </c>
      <c r="E335" t="s">
        <v>3883</v>
      </c>
    </row>
    <row r="336" spans="1:8" hidden="1">
      <c r="A336" t="s">
        <v>3884</v>
      </c>
      <c r="B336" t="s">
        <v>2908</v>
      </c>
      <c r="C336">
        <v>44269</v>
      </c>
      <c r="D336" t="s">
        <v>3232</v>
      </c>
      <c r="E336" t="s">
        <v>3885</v>
      </c>
    </row>
    <row r="337" spans="1:5" hidden="1">
      <c r="A337" t="s">
        <v>3886</v>
      </c>
      <c r="B337" t="s">
        <v>2908</v>
      </c>
      <c r="C337">
        <v>76187</v>
      </c>
      <c r="D337" t="s">
        <v>3887</v>
      </c>
      <c r="E337" t="s">
        <v>3888</v>
      </c>
    </row>
    <row r="338" spans="1:5" hidden="1">
      <c r="A338" t="s">
        <v>3889</v>
      </c>
      <c r="B338" t="s">
        <v>2919</v>
      </c>
      <c r="C338">
        <v>28850</v>
      </c>
      <c r="D338" t="s">
        <v>3890</v>
      </c>
      <c r="E338" t="s">
        <v>3891</v>
      </c>
    </row>
    <row r="339" spans="1:5" hidden="1">
      <c r="A339" t="s">
        <v>3892</v>
      </c>
      <c r="B339" t="s">
        <v>2971</v>
      </c>
      <c r="C339">
        <v>383245</v>
      </c>
      <c r="D339" t="s">
        <v>3893</v>
      </c>
      <c r="E339" t="s">
        <v>3894</v>
      </c>
    </row>
    <row r="340" spans="1:5" hidden="1">
      <c r="A340" t="s">
        <v>3895</v>
      </c>
      <c r="B340" t="s">
        <v>3006</v>
      </c>
      <c r="C340">
        <v>35560</v>
      </c>
      <c r="D340" t="s">
        <v>3896</v>
      </c>
      <c r="E340" t="s">
        <v>3897</v>
      </c>
    </row>
    <row r="341" spans="1:5">
      <c r="A341" t="s">
        <v>776</v>
      </c>
      <c r="B341" t="s">
        <v>311</v>
      </c>
      <c r="C341">
        <v>77072</v>
      </c>
      <c r="D341" t="s">
        <v>2950</v>
      </c>
      <c r="E341" t="s">
        <v>3898</v>
      </c>
    </row>
    <row r="342" spans="1:5" hidden="1">
      <c r="A342" t="s">
        <v>3899</v>
      </c>
      <c r="B342" t="s">
        <v>3055</v>
      </c>
      <c r="C342">
        <v>78310</v>
      </c>
      <c r="D342" t="s">
        <v>3900</v>
      </c>
      <c r="E342" t="s">
        <v>3901</v>
      </c>
    </row>
    <row r="343" spans="1:5" hidden="1">
      <c r="A343" t="s">
        <v>3902</v>
      </c>
      <c r="B343" t="s">
        <v>3006</v>
      </c>
      <c r="C343">
        <v>34776</v>
      </c>
      <c r="D343" t="s">
        <v>3249</v>
      </c>
      <c r="E343" t="s">
        <v>3903</v>
      </c>
    </row>
    <row r="344" spans="1:5" hidden="1">
      <c r="A344" t="s">
        <v>3904</v>
      </c>
      <c r="B344" t="s">
        <v>2908</v>
      </c>
      <c r="C344">
        <v>41564</v>
      </c>
      <c r="D344" t="s">
        <v>3905</v>
      </c>
      <c r="E344" t="s">
        <v>3906</v>
      </c>
    </row>
    <row r="345" spans="1:5" hidden="1">
      <c r="A345" t="s">
        <v>3907</v>
      </c>
      <c r="B345" t="s">
        <v>2908</v>
      </c>
      <c r="C345">
        <v>97996</v>
      </c>
      <c r="D345" t="s">
        <v>3908</v>
      </c>
      <c r="E345" t="s">
        <v>3909</v>
      </c>
    </row>
    <row r="346" spans="1:5" hidden="1">
      <c r="A346" t="s">
        <v>3910</v>
      </c>
      <c r="B346" t="s">
        <v>224</v>
      </c>
      <c r="C346" t="s">
        <v>3911</v>
      </c>
      <c r="D346" t="s">
        <v>3912</v>
      </c>
      <c r="E346" t="s">
        <v>3913</v>
      </c>
    </row>
    <row r="347" spans="1:5" hidden="1">
      <c r="A347" t="s">
        <v>3914</v>
      </c>
      <c r="B347" t="s">
        <v>3915</v>
      </c>
      <c r="C347" t="s">
        <v>3916</v>
      </c>
      <c r="D347" t="s">
        <v>3917</v>
      </c>
      <c r="E347" t="s">
        <v>3918</v>
      </c>
    </row>
    <row r="348" spans="1:5" hidden="1">
      <c r="A348" t="s">
        <v>3919</v>
      </c>
      <c r="B348" t="s">
        <v>2540</v>
      </c>
      <c r="C348">
        <v>35208</v>
      </c>
      <c r="D348" t="s">
        <v>3920</v>
      </c>
      <c r="E348" t="s">
        <v>3921</v>
      </c>
    </row>
    <row r="349" spans="1:5" hidden="1">
      <c r="A349" t="s">
        <v>3922</v>
      </c>
      <c r="B349" t="s">
        <v>2927</v>
      </c>
      <c r="C349" t="s">
        <v>3923</v>
      </c>
      <c r="D349" t="s">
        <v>3924</v>
      </c>
      <c r="E349" t="s">
        <v>3925</v>
      </c>
    </row>
    <row r="350" spans="1:5" hidden="1">
      <c r="A350" t="s">
        <v>3926</v>
      </c>
      <c r="B350" t="s">
        <v>2908</v>
      </c>
      <c r="C350">
        <v>59581</v>
      </c>
      <c r="D350" t="s">
        <v>3927</v>
      </c>
      <c r="E350" t="s">
        <v>3928</v>
      </c>
    </row>
    <row r="351" spans="1:5" hidden="1">
      <c r="A351" t="s">
        <v>3929</v>
      </c>
      <c r="B351" t="s">
        <v>2971</v>
      </c>
      <c r="C351">
        <v>360021</v>
      </c>
      <c r="D351" t="s">
        <v>2975</v>
      </c>
      <c r="E351" t="s">
        <v>3930</v>
      </c>
    </row>
    <row r="352" spans="1:5" hidden="1">
      <c r="A352" t="s">
        <v>3931</v>
      </c>
      <c r="B352" t="s">
        <v>3055</v>
      </c>
      <c r="C352">
        <v>13014</v>
      </c>
      <c r="D352" t="s">
        <v>3932</v>
      </c>
      <c r="E352" t="s">
        <v>3933</v>
      </c>
    </row>
    <row r="353" spans="1:6" hidden="1">
      <c r="A353" t="s">
        <v>3934</v>
      </c>
      <c r="B353" t="s">
        <v>2932</v>
      </c>
      <c r="C353">
        <v>215129</v>
      </c>
      <c r="D353" t="s">
        <v>3356</v>
      </c>
      <c r="E353" t="s">
        <v>3935</v>
      </c>
      <c r="F353" t="s">
        <v>64</v>
      </c>
    </row>
    <row r="354" spans="1:6" hidden="1">
      <c r="A354" t="s">
        <v>3936</v>
      </c>
      <c r="B354" t="s">
        <v>2971</v>
      </c>
      <c r="C354">
        <v>360024</v>
      </c>
      <c r="D354" t="s">
        <v>3401</v>
      </c>
      <c r="E354" t="s">
        <v>3937</v>
      </c>
    </row>
    <row r="355" spans="1:6" hidden="1">
      <c r="A355" t="s">
        <v>3938</v>
      </c>
      <c r="B355" t="s">
        <v>3278</v>
      </c>
      <c r="C355">
        <v>432</v>
      </c>
      <c r="D355" t="s">
        <v>3575</v>
      </c>
      <c r="E355" t="s">
        <v>3775</v>
      </c>
      <c r="F355" t="s">
        <v>64</v>
      </c>
    </row>
    <row r="356" spans="1:6" hidden="1">
      <c r="A356" t="s">
        <v>3939</v>
      </c>
      <c r="B356" t="s">
        <v>2932</v>
      </c>
      <c r="C356">
        <v>325105</v>
      </c>
      <c r="D356" t="s">
        <v>3038</v>
      </c>
      <c r="E356" t="s">
        <v>3940</v>
      </c>
      <c r="F356" t="s">
        <v>64</v>
      </c>
    </row>
    <row r="357" spans="1:6" hidden="1">
      <c r="A357" t="s">
        <v>3941</v>
      </c>
      <c r="B357" t="s">
        <v>2971</v>
      </c>
      <c r="C357">
        <v>360024</v>
      </c>
      <c r="D357" t="s">
        <v>2975</v>
      </c>
      <c r="E357" t="s">
        <v>3942</v>
      </c>
    </row>
    <row r="358" spans="1:6" hidden="1">
      <c r="A358" t="s">
        <v>3943</v>
      </c>
      <c r="B358" t="s">
        <v>2932</v>
      </c>
      <c r="C358">
        <v>215001</v>
      </c>
      <c r="D358" t="s">
        <v>3356</v>
      </c>
      <c r="E358" t="s">
        <v>3944</v>
      </c>
      <c r="F358" t="s">
        <v>64</v>
      </c>
    </row>
    <row r="359" spans="1:6" hidden="1">
      <c r="A359" t="s">
        <v>3945</v>
      </c>
      <c r="B359" t="s">
        <v>2932</v>
      </c>
      <c r="C359">
        <v>215126</v>
      </c>
      <c r="D359" t="s">
        <v>3356</v>
      </c>
      <c r="E359" t="s">
        <v>3946</v>
      </c>
      <c r="F359" t="s">
        <v>64</v>
      </c>
    </row>
    <row r="360" spans="1:6" hidden="1">
      <c r="A360" t="s">
        <v>3947</v>
      </c>
      <c r="B360" t="s">
        <v>2932</v>
      </c>
      <c r="C360">
        <v>215000</v>
      </c>
      <c r="D360" t="s">
        <v>3532</v>
      </c>
      <c r="E360" t="s">
        <v>3948</v>
      </c>
      <c r="F360" t="s">
        <v>64</v>
      </c>
    </row>
    <row r="361" spans="1:6" hidden="1">
      <c r="A361" t="s">
        <v>3949</v>
      </c>
      <c r="B361" t="s">
        <v>2932</v>
      </c>
      <c r="C361">
        <v>215324</v>
      </c>
      <c r="D361" t="s">
        <v>3356</v>
      </c>
      <c r="E361" t="s">
        <v>3950</v>
      </c>
      <c r="F361" t="s">
        <v>64</v>
      </c>
    </row>
    <row r="362" spans="1:6" hidden="1">
      <c r="A362" t="s">
        <v>3951</v>
      </c>
      <c r="B362" t="s">
        <v>3211</v>
      </c>
      <c r="C362">
        <v>43533</v>
      </c>
      <c r="D362" t="s">
        <v>3952</v>
      </c>
      <c r="E362" t="s">
        <v>3953</v>
      </c>
    </row>
    <row r="363" spans="1:6" hidden="1">
      <c r="A363" t="s">
        <v>3954</v>
      </c>
      <c r="B363" t="s">
        <v>3055</v>
      </c>
      <c r="C363">
        <v>38070</v>
      </c>
      <c r="D363" t="s">
        <v>3955</v>
      </c>
      <c r="E363" t="s">
        <v>3956</v>
      </c>
    </row>
    <row r="364" spans="1:6" hidden="1">
      <c r="A364" t="s">
        <v>3957</v>
      </c>
      <c r="B364" t="s">
        <v>2923</v>
      </c>
      <c r="C364">
        <v>24060</v>
      </c>
      <c r="D364" t="s">
        <v>3958</v>
      </c>
      <c r="E364" t="s">
        <v>3959</v>
      </c>
    </row>
    <row r="365" spans="1:6" hidden="1">
      <c r="A365" t="s">
        <v>3960</v>
      </c>
      <c r="B365" t="s">
        <v>2908</v>
      </c>
      <c r="C365">
        <v>22459</v>
      </c>
      <c r="D365" t="s">
        <v>3606</v>
      </c>
      <c r="E365" t="s">
        <v>3961</v>
      </c>
    </row>
    <row r="366" spans="1:6" hidden="1">
      <c r="A366" t="s">
        <v>3962</v>
      </c>
      <c r="B366" t="s">
        <v>2932</v>
      </c>
      <c r="C366">
        <v>317604</v>
      </c>
      <c r="D366" t="s">
        <v>3963</v>
      </c>
      <c r="E366" t="s">
        <v>3964</v>
      </c>
      <c r="F366" t="s">
        <v>64</v>
      </c>
    </row>
    <row r="367" spans="1:6">
      <c r="A367" t="s">
        <v>3965</v>
      </c>
      <c r="B367" t="s">
        <v>311</v>
      </c>
      <c r="C367">
        <v>73128</v>
      </c>
      <c r="D367" t="s">
        <v>3966</v>
      </c>
      <c r="E367" t="s">
        <v>3967</v>
      </c>
    </row>
    <row r="368" spans="1:6" hidden="1">
      <c r="A368" t="s">
        <v>3968</v>
      </c>
      <c r="B368" t="s">
        <v>3055</v>
      </c>
      <c r="C368">
        <v>69960</v>
      </c>
      <c r="D368" t="s">
        <v>3969</v>
      </c>
      <c r="E368" t="s">
        <v>3970</v>
      </c>
    </row>
    <row r="369" spans="1:6" hidden="1">
      <c r="A369" t="s">
        <v>3971</v>
      </c>
      <c r="B369" t="s">
        <v>2932</v>
      </c>
      <c r="C369">
        <v>201306</v>
      </c>
      <c r="D369" t="s">
        <v>3600</v>
      </c>
      <c r="E369" t="s">
        <v>3972</v>
      </c>
      <c r="F369" t="s">
        <v>64</v>
      </c>
    </row>
    <row r="370" spans="1:6" hidden="1">
      <c r="A370" t="s">
        <v>3973</v>
      </c>
      <c r="B370" t="s">
        <v>2932</v>
      </c>
      <c r="C370">
        <v>325000</v>
      </c>
      <c r="D370" t="s">
        <v>3038</v>
      </c>
      <c r="E370" t="s">
        <v>3974</v>
      </c>
      <c r="F370" t="s">
        <v>64</v>
      </c>
    </row>
    <row r="371" spans="1:6" hidden="1">
      <c r="A371" t="s">
        <v>3975</v>
      </c>
      <c r="B371" t="s">
        <v>2932</v>
      </c>
      <c r="C371">
        <v>325102</v>
      </c>
      <c r="D371" t="s">
        <v>3038</v>
      </c>
      <c r="E371" t="s">
        <v>3976</v>
      </c>
      <c r="F371" t="s">
        <v>64</v>
      </c>
    </row>
    <row r="372" spans="1:6" hidden="1">
      <c r="A372" t="s">
        <v>3977</v>
      </c>
      <c r="B372" t="s">
        <v>3978</v>
      </c>
      <c r="C372">
        <v>21235</v>
      </c>
      <c r="D372" t="s">
        <v>3979</v>
      </c>
      <c r="E372" t="s">
        <v>3980</v>
      </c>
    </row>
    <row r="373" spans="1:6" hidden="1">
      <c r="A373" t="s">
        <v>3981</v>
      </c>
      <c r="B373" t="s">
        <v>3278</v>
      </c>
      <c r="C373">
        <v>402253</v>
      </c>
      <c r="D373" t="s">
        <v>3546</v>
      </c>
      <c r="E373" t="s">
        <v>3982</v>
      </c>
      <c r="F373" t="s">
        <v>64</v>
      </c>
    </row>
    <row r="374" spans="1:6" hidden="1">
      <c r="A374" t="s">
        <v>3983</v>
      </c>
      <c r="B374" t="s">
        <v>2908</v>
      </c>
      <c r="C374">
        <v>44795</v>
      </c>
      <c r="D374" t="s">
        <v>3570</v>
      </c>
      <c r="E374" t="s">
        <v>3901</v>
      </c>
    </row>
    <row r="375" spans="1:6" hidden="1">
      <c r="A375" t="s">
        <v>3984</v>
      </c>
      <c r="B375" t="s">
        <v>2908</v>
      </c>
      <c r="C375">
        <v>80807</v>
      </c>
      <c r="D375" t="s">
        <v>3985</v>
      </c>
      <c r="E375" t="s">
        <v>3986</v>
      </c>
    </row>
    <row r="376" spans="1:6" hidden="1">
      <c r="A376" t="s">
        <v>3987</v>
      </c>
      <c r="B376" t="s">
        <v>2923</v>
      </c>
      <c r="C376">
        <v>20020</v>
      </c>
      <c r="D376" t="s">
        <v>3988</v>
      </c>
      <c r="E376" t="s">
        <v>3989</v>
      </c>
    </row>
    <row r="377" spans="1:6" hidden="1">
      <c r="A377" t="s">
        <v>3990</v>
      </c>
      <c r="B377" t="s">
        <v>2932</v>
      </c>
      <c r="C377">
        <v>325000</v>
      </c>
      <c r="D377" t="s">
        <v>3147</v>
      </c>
      <c r="E377" t="s">
        <v>3991</v>
      </c>
      <c r="F377" t="s">
        <v>64</v>
      </c>
    </row>
    <row r="378" spans="1:6" hidden="1">
      <c r="A378" t="s">
        <v>3992</v>
      </c>
      <c r="B378" t="s">
        <v>2932</v>
      </c>
      <c r="C378">
        <v>300350</v>
      </c>
      <c r="D378" t="s">
        <v>3993</v>
      </c>
      <c r="E378" t="s">
        <v>3994</v>
      </c>
      <c r="F378" t="s">
        <v>64</v>
      </c>
    </row>
    <row r="379" spans="1:6" hidden="1">
      <c r="A379" t="s">
        <v>3995</v>
      </c>
      <c r="B379" t="s">
        <v>2932</v>
      </c>
      <c r="C379">
        <v>300240</v>
      </c>
      <c r="D379" t="s">
        <v>3993</v>
      </c>
      <c r="E379" t="s">
        <v>3996</v>
      </c>
      <c r="F379" t="s">
        <v>64</v>
      </c>
    </row>
    <row r="380" spans="1:6" hidden="1">
      <c r="A380" t="s">
        <v>3997</v>
      </c>
      <c r="B380" t="s">
        <v>2932</v>
      </c>
      <c r="C380">
        <v>300350</v>
      </c>
      <c r="D380" t="s">
        <v>3993</v>
      </c>
      <c r="E380" t="s">
        <v>3998</v>
      </c>
      <c r="F380" t="s">
        <v>64</v>
      </c>
    </row>
    <row r="381" spans="1:6" hidden="1">
      <c r="A381" t="s">
        <v>3999</v>
      </c>
      <c r="B381" t="s">
        <v>2932</v>
      </c>
      <c r="C381">
        <v>300353</v>
      </c>
      <c r="D381" t="s">
        <v>3993</v>
      </c>
      <c r="E381" t="s">
        <v>4000</v>
      </c>
      <c r="F381" t="s">
        <v>64</v>
      </c>
    </row>
    <row r="382" spans="1:6" hidden="1">
      <c r="A382" t="s">
        <v>4001</v>
      </c>
      <c r="B382" t="s">
        <v>2932</v>
      </c>
      <c r="C382">
        <v>300000</v>
      </c>
      <c r="D382" t="s">
        <v>3993</v>
      </c>
      <c r="E382" t="s">
        <v>4002</v>
      </c>
      <c r="F382" t="s">
        <v>64</v>
      </c>
    </row>
    <row r="383" spans="1:6" hidden="1">
      <c r="A383" t="s">
        <v>4003</v>
      </c>
      <c r="B383" t="s">
        <v>2932</v>
      </c>
      <c r="C383">
        <v>325100</v>
      </c>
      <c r="D383" t="s">
        <v>3038</v>
      </c>
      <c r="E383" t="s">
        <v>4004</v>
      </c>
      <c r="F383" t="s">
        <v>64</v>
      </c>
    </row>
    <row r="384" spans="1:6" hidden="1">
      <c r="A384" t="s">
        <v>4005</v>
      </c>
      <c r="B384" t="s">
        <v>3333</v>
      </c>
      <c r="C384">
        <v>14449</v>
      </c>
      <c r="D384" t="s">
        <v>4006</v>
      </c>
      <c r="E384" t="s">
        <v>4007</v>
      </c>
    </row>
    <row r="385" spans="1:6" hidden="1">
      <c r="A385" t="s">
        <v>4008</v>
      </c>
      <c r="B385" t="s">
        <v>3333</v>
      </c>
      <c r="C385">
        <v>46738</v>
      </c>
      <c r="D385" t="s">
        <v>4009</v>
      </c>
      <c r="E385" t="s">
        <v>4010</v>
      </c>
    </row>
    <row r="386" spans="1:6" hidden="1">
      <c r="A386" t="s">
        <v>4011</v>
      </c>
      <c r="B386" t="s">
        <v>2908</v>
      </c>
      <c r="C386">
        <v>42579</v>
      </c>
      <c r="D386" t="s">
        <v>4012</v>
      </c>
      <c r="E386" t="s">
        <v>4013</v>
      </c>
    </row>
    <row r="387" spans="1:6" hidden="1">
      <c r="A387" t="s">
        <v>4014</v>
      </c>
      <c r="B387" t="s">
        <v>2908</v>
      </c>
      <c r="C387">
        <v>54634</v>
      </c>
      <c r="D387" t="s">
        <v>4015</v>
      </c>
      <c r="E387" t="s">
        <v>4016</v>
      </c>
    </row>
    <row r="388" spans="1:6" hidden="1">
      <c r="A388" t="s">
        <v>4017</v>
      </c>
      <c r="B388" t="s">
        <v>3055</v>
      </c>
      <c r="C388">
        <v>13340</v>
      </c>
      <c r="D388" t="s">
        <v>4018</v>
      </c>
      <c r="E388" t="s">
        <v>4019</v>
      </c>
    </row>
    <row r="389" spans="1:6" hidden="1">
      <c r="A389" t="s">
        <v>4020</v>
      </c>
      <c r="B389" t="s">
        <v>3006</v>
      </c>
      <c r="C389">
        <v>6680</v>
      </c>
      <c r="D389" t="s">
        <v>4021</v>
      </c>
      <c r="E389" t="s">
        <v>4022</v>
      </c>
    </row>
    <row r="390" spans="1:6" hidden="1">
      <c r="A390" t="s">
        <v>4023</v>
      </c>
      <c r="B390" t="s">
        <v>3006</v>
      </c>
      <c r="C390">
        <v>6909</v>
      </c>
      <c r="D390" t="s">
        <v>4021</v>
      </c>
      <c r="E390" t="s">
        <v>4024</v>
      </c>
    </row>
    <row r="391" spans="1:6" hidden="1">
      <c r="A391" t="s">
        <v>4025</v>
      </c>
      <c r="B391" t="s">
        <v>3046</v>
      </c>
      <c r="D391" t="s">
        <v>4026</v>
      </c>
      <c r="E391" t="s">
        <v>4027</v>
      </c>
      <c r="F391" t="s">
        <v>64</v>
      </c>
    </row>
    <row r="392" spans="1:6" hidden="1">
      <c r="A392" t="s">
        <v>4028</v>
      </c>
      <c r="B392" t="s">
        <v>2971</v>
      </c>
      <c r="C392">
        <v>360024</v>
      </c>
      <c r="D392" t="s">
        <v>4029</v>
      </c>
      <c r="E392" t="s">
        <v>4030</v>
      </c>
    </row>
    <row r="393" spans="1:6" hidden="1">
      <c r="A393" t="s">
        <v>4031</v>
      </c>
      <c r="B393" t="s">
        <v>2919</v>
      </c>
      <c r="C393">
        <v>20560</v>
      </c>
      <c r="D393" t="s">
        <v>4032</v>
      </c>
      <c r="E393" t="s">
        <v>4033</v>
      </c>
    </row>
    <row r="394" spans="1:6">
      <c r="A394" t="s">
        <v>4034</v>
      </c>
      <c r="B394" t="s">
        <v>311</v>
      </c>
      <c r="C394">
        <v>77067</v>
      </c>
      <c r="D394" t="s">
        <v>2950</v>
      </c>
      <c r="E394" t="s">
        <v>4035</v>
      </c>
    </row>
    <row r="395" spans="1:6" hidden="1">
      <c r="A395" t="s">
        <v>4036</v>
      </c>
      <c r="B395" t="s">
        <v>3006</v>
      </c>
      <c r="C395">
        <v>41400</v>
      </c>
      <c r="D395" t="s">
        <v>4037</v>
      </c>
      <c r="E395" t="s">
        <v>4038</v>
      </c>
    </row>
    <row r="396" spans="1:6" hidden="1">
      <c r="A396" t="s">
        <v>4039</v>
      </c>
      <c r="B396" t="s">
        <v>2971</v>
      </c>
      <c r="C396" t="s">
        <v>4040</v>
      </c>
      <c r="D396">
        <v>391243</v>
      </c>
      <c r="E396" t="s">
        <v>4041</v>
      </c>
    </row>
    <row r="397" spans="1:6" hidden="1">
      <c r="A397" t="s">
        <v>4042</v>
      </c>
      <c r="B397" t="s">
        <v>2971</v>
      </c>
      <c r="C397">
        <v>641050</v>
      </c>
      <c r="D397" t="s">
        <v>4043</v>
      </c>
      <c r="E397" t="s">
        <v>4044</v>
      </c>
    </row>
    <row r="398" spans="1:6" hidden="1">
      <c r="A398" t="s">
        <v>4045</v>
      </c>
      <c r="B398" t="s">
        <v>2923</v>
      </c>
      <c r="C398">
        <v>25065</v>
      </c>
      <c r="D398" t="s">
        <v>4046</v>
      </c>
      <c r="E398" t="s">
        <v>3748</v>
      </c>
    </row>
    <row r="399" spans="1:6" hidden="1">
      <c r="A399" t="s">
        <v>4047</v>
      </c>
      <c r="B399" t="s">
        <v>2923</v>
      </c>
      <c r="C399">
        <v>25060</v>
      </c>
      <c r="D399" t="s">
        <v>4048</v>
      </c>
      <c r="E399" t="s">
        <v>3748</v>
      </c>
    </row>
    <row r="400" spans="1:6" hidden="1">
      <c r="A400" t="s">
        <v>4049</v>
      </c>
      <c r="B400" t="s">
        <v>3278</v>
      </c>
      <c r="C400">
        <v>412</v>
      </c>
      <c r="D400" t="s">
        <v>3575</v>
      </c>
      <c r="E400" t="s">
        <v>4050</v>
      </c>
      <c r="F400" t="s">
        <v>64</v>
      </c>
    </row>
    <row r="401" spans="1:6" hidden="1">
      <c r="A401" t="s">
        <v>4051</v>
      </c>
      <c r="B401" t="s">
        <v>2971</v>
      </c>
      <c r="C401">
        <v>580004</v>
      </c>
      <c r="D401" t="s">
        <v>4052</v>
      </c>
      <c r="E401" t="s">
        <v>4053</v>
      </c>
    </row>
    <row r="402" spans="1:6" hidden="1">
      <c r="A402" t="s">
        <v>4054</v>
      </c>
      <c r="B402" t="s">
        <v>3278</v>
      </c>
      <c r="C402">
        <v>236</v>
      </c>
      <c r="D402" t="s">
        <v>4055</v>
      </c>
      <c r="E402" t="s">
        <v>4056</v>
      </c>
      <c r="F402" t="s">
        <v>64</v>
      </c>
    </row>
    <row r="403" spans="1:6" hidden="1">
      <c r="A403" t="s">
        <v>4057</v>
      </c>
      <c r="B403" t="s">
        <v>224</v>
      </c>
      <c r="C403" t="s">
        <v>4058</v>
      </c>
      <c r="D403" t="s">
        <v>4059</v>
      </c>
      <c r="E403" t="s">
        <v>4060</v>
      </c>
    </row>
    <row r="404" spans="1:6" hidden="1">
      <c r="A404" t="s">
        <v>4061</v>
      </c>
      <c r="B404" t="s">
        <v>2919</v>
      </c>
      <c r="C404">
        <v>8192</v>
      </c>
      <c r="D404" t="s">
        <v>4062</v>
      </c>
      <c r="E404" t="s">
        <v>4063</v>
      </c>
    </row>
    <row r="405" spans="1:6" hidden="1">
      <c r="A405" t="s">
        <v>4064</v>
      </c>
      <c r="B405" t="s">
        <v>2919</v>
      </c>
      <c r="C405">
        <v>48550</v>
      </c>
      <c r="D405" t="s">
        <v>4065</v>
      </c>
      <c r="E405" t="s">
        <v>3292</v>
      </c>
    </row>
    <row r="406" spans="1:6" hidden="1">
      <c r="A406" t="s">
        <v>4066</v>
      </c>
      <c r="B406" t="s">
        <v>2919</v>
      </c>
      <c r="C406">
        <v>20303</v>
      </c>
      <c r="D406" t="s">
        <v>4067</v>
      </c>
      <c r="E406" t="s">
        <v>4068</v>
      </c>
    </row>
    <row r="407" spans="1:6" hidden="1">
      <c r="A407" t="s">
        <v>4069</v>
      </c>
      <c r="B407" t="s">
        <v>3006</v>
      </c>
      <c r="C407">
        <v>34762</v>
      </c>
      <c r="D407" t="s">
        <v>3249</v>
      </c>
      <c r="E407" t="s">
        <v>4070</v>
      </c>
    </row>
    <row r="408" spans="1:6" hidden="1">
      <c r="A408" t="s">
        <v>4071</v>
      </c>
      <c r="B408" t="s">
        <v>2971</v>
      </c>
      <c r="C408">
        <v>600049</v>
      </c>
      <c r="D408" t="s">
        <v>4072</v>
      </c>
      <c r="E408" t="s">
        <v>4073</v>
      </c>
    </row>
    <row r="409" spans="1:6" hidden="1">
      <c r="A409" t="s">
        <v>4074</v>
      </c>
      <c r="B409" t="s">
        <v>2932</v>
      </c>
      <c r="C409">
        <v>323010</v>
      </c>
      <c r="D409" t="s">
        <v>3616</v>
      </c>
      <c r="E409" t="s">
        <v>4075</v>
      </c>
      <c r="F409" t="s">
        <v>64</v>
      </c>
    </row>
    <row r="410" spans="1:6" hidden="1">
      <c r="A410" t="s">
        <v>4076</v>
      </c>
      <c r="B410" t="s">
        <v>2908</v>
      </c>
      <c r="C410">
        <v>60528</v>
      </c>
      <c r="D410" t="s">
        <v>4077</v>
      </c>
      <c r="E410" t="s">
        <v>4078</v>
      </c>
    </row>
    <row r="411" spans="1:6" hidden="1">
      <c r="A411" t="s">
        <v>4079</v>
      </c>
      <c r="B411" t="s">
        <v>3235</v>
      </c>
      <c r="C411" t="s">
        <v>4080</v>
      </c>
      <c r="D411" t="s">
        <v>4081</v>
      </c>
      <c r="E411" t="s">
        <v>4082</v>
      </c>
    </row>
    <row r="412" spans="1:6" hidden="1">
      <c r="A412" t="s">
        <v>4083</v>
      </c>
      <c r="B412" t="s">
        <v>224</v>
      </c>
      <c r="C412" t="s">
        <v>4084</v>
      </c>
      <c r="D412" t="s">
        <v>4085</v>
      </c>
      <c r="E412" t="s">
        <v>4086</v>
      </c>
    </row>
    <row r="413" spans="1:6" hidden="1">
      <c r="A413" t="s">
        <v>4087</v>
      </c>
      <c r="B413" t="s">
        <v>4088</v>
      </c>
      <c r="C413">
        <v>38200</v>
      </c>
      <c r="D413" t="s">
        <v>4089</v>
      </c>
      <c r="E413" t="s">
        <v>4090</v>
      </c>
    </row>
    <row r="414" spans="1:6" hidden="1">
      <c r="A414" t="s">
        <v>4091</v>
      </c>
      <c r="B414" t="s">
        <v>2932</v>
      </c>
      <c r="C414">
        <v>325025</v>
      </c>
      <c r="D414" t="s">
        <v>3038</v>
      </c>
      <c r="E414" t="s">
        <v>4092</v>
      </c>
      <c r="F414" t="s">
        <v>64</v>
      </c>
    </row>
    <row r="415" spans="1:6" hidden="1">
      <c r="A415" t="s">
        <v>4093</v>
      </c>
      <c r="B415" t="s">
        <v>3319</v>
      </c>
      <c r="C415" t="s">
        <v>4094</v>
      </c>
      <c r="D415" t="s">
        <v>4095</v>
      </c>
      <c r="E415" t="s">
        <v>4096</v>
      </c>
    </row>
    <row r="416" spans="1:6" hidden="1">
      <c r="A416" t="s">
        <v>4097</v>
      </c>
      <c r="B416" t="s">
        <v>3006</v>
      </c>
      <c r="C416">
        <v>34537</v>
      </c>
      <c r="D416" t="s">
        <v>3249</v>
      </c>
      <c r="E416" t="s">
        <v>4098</v>
      </c>
    </row>
    <row r="417" spans="1:6" hidden="1">
      <c r="A417" t="s">
        <v>4099</v>
      </c>
      <c r="B417" t="s">
        <v>3143</v>
      </c>
      <c r="C417">
        <v>4132</v>
      </c>
      <c r="D417" t="s">
        <v>4100</v>
      </c>
      <c r="E417" t="s">
        <v>2988</v>
      </c>
    </row>
    <row r="418" spans="1:6" hidden="1">
      <c r="A418" t="s">
        <v>4101</v>
      </c>
      <c r="B418" t="s">
        <v>2908</v>
      </c>
      <c r="C418">
        <v>45127</v>
      </c>
      <c r="D418" t="s">
        <v>3482</v>
      </c>
      <c r="E418" t="s">
        <v>4102</v>
      </c>
    </row>
    <row r="419" spans="1:6" hidden="1">
      <c r="A419" t="s">
        <v>4103</v>
      </c>
      <c r="B419" t="s">
        <v>2919</v>
      </c>
      <c r="C419">
        <v>8227</v>
      </c>
      <c r="D419" t="s">
        <v>4104</v>
      </c>
      <c r="E419" t="s">
        <v>4105</v>
      </c>
    </row>
    <row r="420" spans="1:6" hidden="1">
      <c r="A420" t="s">
        <v>4106</v>
      </c>
      <c r="B420" t="s">
        <v>2908</v>
      </c>
      <c r="C420">
        <v>74076</v>
      </c>
      <c r="D420" t="s">
        <v>4107</v>
      </c>
      <c r="E420" t="s">
        <v>4108</v>
      </c>
    </row>
    <row r="421" spans="1:6" hidden="1">
      <c r="A421" t="s">
        <v>4109</v>
      </c>
      <c r="B421" t="s">
        <v>2908</v>
      </c>
      <c r="C421">
        <v>30419</v>
      </c>
      <c r="D421" t="s">
        <v>3681</v>
      </c>
      <c r="E421" t="s">
        <v>4110</v>
      </c>
    </row>
    <row r="422" spans="1:6" hidden="1">
      <c r="A422" t="s">
        <v>4111</v>
      </c>
      <c r="B422" t="s">
        <v>3814</v>
      </c>
      <c r="C422">
        <v>54610</v>
      </c>
      <c r="D422" t="s">
        <v>4112</v>
      </c>
      <c r="E422" t="s">
        <v>4113</v>
      </c>
    </row>
    <row r="423" spans="1:6" hidden="1">
      <c r="A423" t="s">
        <v>4114</v>
      </c>
      <c r="B423" t="s">
        <v>2908</v>
      </c>
      <c r="C423">
        <v>89257</v>
      </c>
      <c r="D423" t="s">
        <v>4115</v>
      </c>
      <c r="E423" t="s">
        <v>4116</v>
      </c>
    </row>
    <row r="424" spans="1:6" hidden="1">
      <c r="A424" t="s">
        <v>4117</v>
      </c>
      <c r="B424" t="s">
        <v>2932</v>
      </c>
      <c r="C424">
        <v>261100</v>
      </c>
      <c r="D424" t="s">
        <v>4118</v>
      </c>
      <c r="E424" t="s">
        <v>4119</v>
      </c>
      <c r="F424" t="s">
        <v>64</v>
      </c>
    </row>
    <row r="425" spans="1:6" hidden="1">
      <c r="A425" t="s">
        <v>4120</v>
      </c>
      <c r="B425" t="s">
        <v>2932</v>
      </c>
      <c r="C425">
        <v>330300</v>
      </c>
      <c r="D425" t="s">
        <v>3038</v>
      </c>
      <c r="E425" t="s">
        <v>4121</v>
      </c>
      <c r="F425" t="s">
        <v>64</v>
      </c>
    </row>
    <row r="426" spans="1:6" hidden="1">
      <c r="A426" t="s">
        <v>4122</v>
      </c>
      <c r="B426" t="s">
        <v>2932</v>
      </c>
      <c r="C426">
        <v>325101</v>
      </c>
      <c r="D426" t="s">
        <v>3050</v>
      </c>
      <c r="E426" t="s">
        <v>4123</v>
      </c>
      <c r="F426" t="s">
        <v>64</v>
      </c>
    </row>
    <row r="427" spans="1:6" hidden="1">
      <c r="A427" t="s">
        <v>4124</v>
      </c>
      <c r="B427" t="s">
        <v>2932</v>
      </c>
      <c r="C427">
        <v>325000</v>
      </c>
      <c r="D427" t="s">
        <v>3050</v>
      </c>
      <c r="E427" t="s">
        <v>4125</v>
      </c>
      <c r="F427" t="s">
        <v>64</v>
      </c>
    </row>
    <row r="428" spans="1:6" hidden="1">
      <c r="A428" t="s">
        <v>4126</v>
      </c>
      <c r="B428" t="s">
        <v>2932</v>
      </c>
      <c r="C428">
        <v>325105</v>
      </c>
      <c r="D428" t="s">
        <v>3050</v>
      </c>
      <c r="E428" t="s">
        <v>4127</v>
      </c>
      <c r="F428" t="s">
        <v>64</v>
      </c>
    </row>
    <row r="429" spans="1:6" hidden="1">
      <c r="A429" t="s">
        <v>4128</v>
      </c>
      <c r="B429" t="s">
        <v>2932</v>
      </c>
      <c r="C429">
        <v>325105</v>
      </c>
      <c r="D429" t="s">
        <v>3050</v>
      </c>
      <c r="E429" t="s">
        <v>4129</v>
      </c>
      <c r="F429" t="s">
        <v>64</v>
      </c>
    </row>
    <row r="430" spans="1:6" hidden="1">
      <c r="A430" t="s">
        <v>4130</v>
      </c>
      <c r="B430" t="s">
        <v>2932</v>
      </c>
      <c r="C430">
        <v>325603</v>
      </c>
      <c r="D430" t="s">
        <v>3050</v>
      </c>
      <c r="E430" t="s">
        <v>4131</v>
      </c>
      <c r="F430" t="s">
        <v>64</v>
      </c>
    </row>
    <row r="431" spans="1:6" hidden="1">
      <c r="A431" t="s">
        <v>4132</v>
      </c>
      <c r="B431" t="s">
        <v>2932</v>
      </c>
      <c r="C431">
        <v>325105</v>
      </c>
      <c r="D431" t="s">
        <v>3050</v>
      </c>
      <c r="E431" t="s">
        <v>4133</v>
      </c>
      <c r="F431" t="s">
        <v>64</v>
      </c>
    </row>
    <row r="432" spans="1:6" hidden="1">
      <c r="A432" t="s">
        <v>4134</v>
      </c>
      <c r="B432" t="s">
        <v>2932</v>
      </c>
      <c r="C432">
        <v>325021</v>
      </c>
      <c r="D432" t="s">
        <v>3038</v>
      </c>
      <c r="E432" t="s">
        <v>3996</v>
      </c>
      <c r="F432" t="s">
        <v>64</v>
      </c>
    </row>
    <row r="433" spans="1:6" hidden="1">
      <c r="A433" t="s">
        <v>4135</v>
      </c>
      <c r="B433" t="s">
        <v>2908</v>
      </c>
      <c r="C433">
        <v>63911</v>
      </c>
      <c r="D433" t="s">
        <v>4136</v>
      </c>
      <c r="E433" t="s">
        <v>4137</v>
      </c>
    </row>
    <row r="434" spans="1:6" hidden="1">
      <c r="A434" t="s">
        <v>4138</v>
      </c>
      <c r="B434" t="s">
        <v>4139</v>
      </c>
      <c r="C434">
        <v>84000</v>
      </c>
      <c r="D434" t="s">
        <v>4140</v>
      </c>
      <c r="E434" t="s">
        <v>4141</v>
      </c>
    </row>
    <row r="435" spans="1:6" hidden="1">
      <c r="A435" t="s">
        <v>4142</v>
      </c>
      <c r="B435" t="s">
        <v>2908</v>
      </c>
      <c r="C435">
        <v>75175</v>
      </c>
      <c r="D435" t="s">
        <v>4143</v>
      </c>
      <c r="E435" t="s">
        <v>4144</v>
      </c>
    </row>
    <row r="436" spans="1:6" hidden="1">
      <c r="A436" t="s">
        <v>4145</v>
      </c>
      <c r="B436" t="s">
        <v>2932</v>
      </c>
      <c r="C436">
        <v>430108</v>
      </c>
      <c r="D436" t="s">
        <v>4146</v>
      </c>
      <c r="E436" t="s">
        <v>4147</v>
      </c>
      <c r="F436" t="s">
        <v>64</v>
      </c>
    </row>
    <row r="437" spans="1:6" hidden="1">
      <c r="A437" t="s">
        <v>4148</v>
      </c>
      <c r="B437" t="s">
        <v>2932</v>
      </c>
      <c r="C437">
        <v>241206</v>
      </c>
      <c r="D437" t="s">
        <v>4149</v>
      </c>
      <c r="E437" t="s">
        <v>4150</v>
      </c>
      <c r="F437" t="s">
        <v>64</v>
      </c>
    </row>
    <row r="438" spans="1:6" hidden="1">
      <c r="A438" t="s">
        <v>4151</v>
      </c>
      <c r="B438" t="s">
        <v>2932</v>
      </c>
      <c r="C438">
        <v>214262</v>
      </c>
      <c r="D438" t="s">
        <v>4152</v>
      </c>
      <c r="E438" t="s">
        <v>4153</v>
      </c>
      <c r="F438" t="s">
        <v>64</v>
      </c>
    </row>
    <row r="439" spans="1:6" hidden="1">
      <c r="A439" t="s">
        <v>4154</v>
      </c>
      <c r="B439" t="s">
        <v>2932</v>
      </c>
      <c r="C439">
        <v>214000</v>
      </c>
      <c r="D439" t="s">
        <v>2998</v>
      </c>
      <c r="E439" t="s">
        <v>3048</v>
      </c>
      <c r="F439" t="s">
        <v>64</v>
      </c>
    </row>
    <row r="440" spans="1:6" hidden="1">
      <c r="A440" t="s">
        <v>4155</v>
      </c>
      <c r="B440" t="s">
        <v>2932</v>
      </c>
      <c r="C440">
        <v>214100</v>
      </c>
      <c r="D440" t="s">
        <v>4156</v>
      </c>
      <c r="E440" t="s">
        <v>4157</v>
      </c>
      <c r="F440" t="s">
        <v>64</v>
      </c>
    </row>
    <row r="441" spans="1:6" hidden="1">
      <c r="A441" t="s">
        <v>4158</v>
      </c>
      <c r="B441" t="s">
        <v>2932</v>
      </c>
      <c r="D441" t="s">
        <v>3038</v>
      </c>
      <c r="E441" t="s">
        <v>4159</v>
      </c>
      <c r="F441" t="s">
        <v>64</v>
      </c>
    </row>
    <row r="442" spans="1:6" hidden="1">
      <c r="A442" t="s">
        <v>4160</v>
      </c>
      <c r="B442" t="s">
        <v>2932</v>
      </c>
      <c r="C442">
        <v>325105</v>
      </c>
      <c r="D442" t="s">
        <v>3038</v>
      </c>
      <c r="E442" t="s">
        <v>4161</v>
      </c>
      <c r="F442" t="s">
        <v>64</v>
      </c>
    </row>
    <row r="443" spans="1:6" hidden="1">
      <c r="A443" t="s">
        <v>4162</v>
      </c>
      <c r="B443" t="s">
        <v>3006</v>
      </c>
      <c r="C443">
        <v>34956</v>
      </c>
      <c r="D443" t="s">
        <v>4163</v>
      </c>
      <c r="E443" t="s">
        <v>4164</v>
      </c>
    </row>
    <row r="444" spans="1:6" hidden="1">
      <c r="A444" t="s">
        <v>4165</v>
      </c>
      <c r="B444" t="s">
        <v>3278</v>
      </c>
      <c r="C444">
        <v>249</v>
      </c>
      <c r="D444" t="s">
        <v>4166</v>
      </c>
      <c r="E444" t="s">
        <v>4167</v>
      </c>
      <c r="F444" t="s">
        <v>64</v>
      </c>
    </row>
    <row r="445" spans="1:6" hidden="1">
      <c r="A445" t="s">
        <v>4168</v>
      </c>
      <c r="B445" t="s">
        <v>2932</v>
      </c>
      <c r="C445">
        <v>325100</v>
      </c>
      <c r="D445" t="s">
        <v>3038</v>
      </c>
      <c r="E445" t="s">
        <v>3573</v>
      </c>
      <c r="F445" t="s">
        <v>64</v>
      </c>
    </row>
    <row r="446" spans="1:6" hidden="1">
      <c r="A446" t="s">
        <v>4168</v>
      </c>
      <c r="B446" t="s">
        <v>2932</v>
      </c>
      <c r="C446">
        <v>325100</v>
      </c>
      <c r="D446" t="s">
        <v>3038</v>
      </c>
      <c r="E446" t="s">
        <v>4169</v>
      </c>
      <c r="F446" t="s">
        <v>64</v>
      </c>
    </row>
    <row r="447" spans="1:6" hidden="1">
      <c r="A447" t="s">
        <v>4170</v>
      </c>
      <c r="B447" t="s">
        <v>2932</v>
      </c>
      <c r="C447">
        <v>325000</v>
      </c>
      <c r="D447" t="s">
        <v>3038</v>
      </c>
      <c r="E447" t="s">
        <v>4171</v>
      </c>
      <c r="F447" t="s">
        <v>64</v>
      </c>
    </row>
    <row r="448" spans="1:6" hidden="1">
      <c r="A448" t="s">
        <v>4172</v>
      </c>
      <c r="B448" t="s">
        <v>2932</v>
      </c>
      <c r="C448">
        <v>325105</v>
      </c>
      <c r="D448" t="s">
        <v>4173</v>
      </c>
      <c r="E448" t="s">
        <v>4174</v>
      </c>
      <c r="F448" t="s">
        <v>64</v>
      </c>
    </row>
    <row r="449" spans="1:6" hidden="1">
      <c r="A449" t="s">
        <v>4175</v>
      </c>
      <c r="B449" t="s">
        <v>2932</v>
      </c>
      <c r="C449">
        <v>321305</v>
      </c>
      <c r="D449" t="s">
        <v>3038</v>
      </c>
      <c r="E449" t="s">
        <v>4176</v>
      </c>
      <c r="F449" t="s">
        <v>64</v>
      </c>
    </row>
    <row r="450" spans="1:6" hidden="1">
      <c r="A450" t="s">
        <v>4177</v>
      </c>
      <c r="B450" t="s">
        <v>2932</v>
      </c>
      <c r="C450">
        <v>321300</v>
      </c>
      <c r="D450" t="s">
        <v>4178</v>
      </c>
      <c r="E450" t="s">
        <v>4179</v>
      </c>
      <c r="F450" t="s">
        <v>64</v>
      </c>
    </row>
    <row r="451" spans="1:6" hidden="1">
      <c r="A451" t="s">
        <v>4180</v>
      </c>
      <c r="B451" t="s">
        <v>2927</v>
      </c>
      <c r="C451" t="s">
        <v>4181</v>
      </c>
      <c r="D451" t="s">
        <v>4182</v>
      </c>
      <c r="E451" t="s">
        <v>4183</v>
      </c>
    </row>
    <row r="452" spans="1:6" hidden="1">
      <c r="A452" t="s">
        <v>4184</v>
      </c>
      <c r="B452" t="s">
        <v>2932</v>
      </c>
      <c r="C452">
        <v>55350</v>
      </c>
      <c r="D452" t="s">
        <v>4185</v>
      </c>
      <c r="E452" t="s">
        <v>4186</v>
      </c>
      <c r="F452" t="s">
        <v>64</v>
      </c>
    </row>
    <row r="453" spans="1:6">
      <c r="A453" t="s">
        <v>4187</v>
      </c>
      <c r="B453" t="s">
        <v>311</v>
      </c>
      <c r="C453">
        <v>77380</v>
      </c>
      <c r="D453" t="s">
        <v>4188</v>
      </c>
      <c r="E453" t="s">
        <v>4189</v>
      </c>
    </row>
    <row r="454" spans="1:6" hidden="1">
      <c r="A454" t="s">
        <v>4190</v>
      </c>
      <c r="B454" t="s">
        <v>3915</v>
      </c>
      <c r="C454" t="s">
        <v>4191</v>
      </c>
      <c r="D454" t="s">
        <v>4192</v>
      </c>
      <c r="E454" t="s">
        <v>4193</v>
      </c>
    </row>
    <row r="455" spans="1:6" hidden="1">
      <c r="A455" t="s">
        <v>4194</v>
      </c>
      <c r="B455" t="s">
        <v>3915</v>
      </c>
      <c r="C455" t="s">
        <v>4195</v>
      </c>
      <c r="D455" t="s">
        <v>4196</v>
      </c>
      <c r="E455" t="s">
        <v>4197</v>
      </c>
    </row>
    <row r="456" spans="1:6" hidden="1">
      <c r="A456" t="s">
        <v>4198</v>
      </c>
      <c r="B456" t="s">
        <v>2932</v>
      </c>
      <c r="C456">
        <v>325105</v>
      </c>
      <c r="D456" t="s">
        <v>3038</v>
      </c>
      <c r="E456" t="s">
        <v>4199</v>
      </c>
      <c r="F456" t="s">
        <v>64</v>
      </c>
    </row>
    <row r="457" spans="1:6" hidden="1">
      <c r="A457" t="s">
        <v>4200</v>
      </c>
      <c r="B457" t="s">
        <v>2932</v>
      </c>
      <c r="C457">
        <v>325207</v>
      </c>
      <c r="D457" t="s">
        <v>4201</v>
      </c>
      <c r="E457" t="s">
        <v>3118</v>
      </c>
      <c r="F457" t="s">
        <v>64</v>
      </c>
    </row>
    <row r="458" spans="1:6" hidden="1">
      <c r="A458" t="s">
        <v>4202</v>
      </c>
      <c r="B458" t="s">
        <v>2932</v>
      </c>
      <c r="C458">
        <v>314214</v>
      </c>
      <c r="D458" t="s">
        <v>4203</v>
      </c>
      <c r="E458" t="s">
        <v>4204</v>
      </c>
      <c r="F458" t="s">
        <v>64</v>
      </c>
    </row>
    <row r="459" spans="1:6" hidden="1">
      <c r="A459" t="s">
        <v>4205</v>
      </c>
      <c r="B459" t="s">
        <v>2932</v>
      </c>
      <c r="C459">
        <v>325105</v>
      </c>
      <c r="D459" t="s">
        <v>3038</v>
      </c>
      <c r="E459" t="s">
        <v>4206</v>
      </c>
      <c r="F459" t="s">
        <v>64</v>
      </c>
    </row>
    <row r="460" spans="1:6" hidden="1">
      <c r="A460" t="s">
        <v>4207</v>
      </c>
      <c r="B460" t="s">
        <v>2932</v>
      </c>
      <c r="C460">
        <v>325000</v>
      </c>
      <c r="D460" t="s">
        <v>3038</v>
      </c>
      <c r="E460" t="s">
        <v>4208</v>
      </c>
      <c r="F460" t="s">
        <v>64</v>
      </c>
    </row>
    <row r="461" spans="1:6" hidden="1">
      <c r="A461" t="s">
        <v>4209</v>
      </c>
      <c r="B461" t="s">
        <v>2932</v>
      </c>
      <c r="C461">
        <v>325100</v>
      </c>
      <c r="D461" t="s">
        <v>3038</v>
      </c>
      <c r="E461" t="s">
        <v>4210</v>
      </c>
      <c r="F461" t="s">
        <v>64</v>
      </c>
    </row>
    <row r="462" spans="1:6" hidden="1">
      <c r="A462" t="s">
        <v>4211</v>
      </c>
      <c r="B462" t="s">
        <v>2932</v>
      </c>
      <c r="C462">
        <v>325105</v>
      </c>
      <c r="D462" t="s">
        <v>3038</v>
      </c>
      <c r="E462" t="s">
        <v>3414</v>
      </c>
      <c r="F462" t="s">
        <v>64</v>
      </c>
    </row>
    <row r="463" spans="1:6" hidden="1">
      <c r="A463" t="s">
        <v>4212</v>
      </c>
      <c r="B463" t="s">
        <v>2932</v>
      </c>
      <c r="C463">
        <v>325215</v>
      </c>
      <c r="D463" t="s">
        <v>4213</v>
      </c>
      <c r="E463" t="s">
        <v>4214</v>
      </c>
      <c r="F463" t="s">
        <v>64</v>
      </c>
    </row>
    <row r="464" spans="1:6" hidden="1">
      <c r="A464" t="s">
        <v>4215</v>
      </c>
      <c r="B464" t="s">
        <v>2932</v>
      </c>
      <c r="C464">
        <v>325105</v>
      </c>
      <c r="D464" t="s">
        <v>3050</v>
      </c>
      <c r="E464" t="s">
        <v>4216</v>
      </c>
      <c r="F464" t="s">
        <v>64</v>
      </c>
    </row>
    <row r="465" spans="1:6" hidden="1">
      <c r="A465" t="s">
        <v>4217</v>
      </c>
      <c r="B465" t="s">
        <v>2932</v>
      </c>
      <c r="C465">
        <v>325102</v>
      </c>
      <c r="D465" t="s">
        <v>3038</v>
      </c>
      <c r="E465" t="s">
        <v>4218</v>
      </c>
      <c r="F465" t="s">
        <v>64</v>
      </c>
    </row>
    <row r="466" spans="1:6" hidden="1">
      <c r="A466" t="s">
        <v>4219</v>
      </c>
      <c r="B466" t="s">
        <v>2932</v>
      </c>
      <c r="C466">
        <v>325000</v>
      </c>
      <c r="D466" t="s">
        <v>3038</v>
      </c>
      <c r="E466" t="s">
        <v>4125</v>
      </c>
      <c r="F466" t="s">
        <v>64</v>
      </c>
    </row>
    <row r="467" spans="1:6" hidden="1">
      <c r="A467" t="s">
        <v>4220</v>
      </c>
      <c r="B467" t="s">
        <v>2932</v>
      </c>
      <c r="C467">
        <v>325103</v>
      </c>
      <c r="D467" t="s">
        <v>3038</v>
      </c>
      <c r="E467" t="s">
        <v>4221</v>
      </c>
      <c r="F467" t="s">
        <v>64</v>
      </c>
    </row>
    <row r="468" spans="1:6" hidden="1">
      <c r="A468" t="s">
        <v>4222</v>
      </c>
      <c r="B468" t="s">
        <v>2932</v>
      </c>
      <c r="C468">
        <v>325102</v>
      </c>
      <c r="D468" t="s">
        <v>3038</v>
      </c>
      <c r="E468" t="s">
        <v>4223</v>
      </c>
      <c r="F468" t="s">
        <v>64</v>
      </c>
    </row>
    <row r="469" spans="1:6" hidden="1">
      <c r="A469" t="s">
        <v>4224</v>
      </c>
      <c r="B469" t="s">
        <v>2932</v>
      </c>
      <c r="C469">
        <v>325088</v>
      </c>
      <c r="D469" t="s">
        <v>3038</v>
      </c>
      <c r="E469" t="s">
        <v>4225</v>
      </c>
      <c r="F469" t="s">
        <v>64</v>
      </c>
    </row>
    <row r="470" spans="1:6" hidden="1">
      <c r="A470" t="s">
        <v>4226</v>
      </c>
      <c r="B470" t="s">
        <v>2932</v>
      </c>
      <c r="C470">
        <v>324200</v>
      </c>
      <c r="D470" t="s">
        <v>4227</v>
      </c>
      <c r="E470" t="s">
        <v>4228</v>
      </c>
      <c r="F470" t="s">
        <v>64</v>
      </c>
    </row>
    <row r="471" spans="1:6" hidden="1">
      <c r="A471" t="s">
        <v>4229</v>
      </c>
      <c r="B471" t="s">
        <v>2932</v>
      </c>
      <c r="C471">
        <v>325200</v>
      </c>
      <c r="D471" t="s">
        <v>4230</v>
      </c>
      <c r="E471" t="s">
        <v>4231</v>
      </c>
      <c r="F471" t="s">
        <v>64</v>
      </c>
    </row>
    <row r="472" spans="1:6" hidden="1">
      <c r="A472" t="s">
        <v>4232</v>
      </c>
      <c r="B472" t="s">
        <v>2932</v>
      </c>
      <c r="C472">
        <v>325206</v>
      </c>
      <c r="D472" t="s">
        <v>4233</v>
      </c>
      <c r="E472" t="s">
        <v>4234</v>
      </c>
      <c r="F472" t="s">
        <v>64</v>
      </c>
    </row>
    <row r="473" spans="1:6" hidden="1">
      <c r="A473" t="s">
        <v>4235</v>
      </c>
      <c r="B473" t="s">
        <v>2932</v>
      </c>
      <c r="C473">
        <v>315502</v>
      </c>
      <c r="D473" t="s">
        <v>4236</v>
      </c>
      <c r="E473" t="s">
        <v>4237</v>
      </c>
      <c r="F473" t="s">
        <v>64</v>
      </c>
    </row>
    <row r="474" spans="1:6" hidden="1">
      <c r="A474" t="s">
        <v>4238</v>
      </c>
      <c r="B474" t="s">
        <v>2932</v>
      </c>
      <c r="C474">
        <v>325100</v>
      </c>
      <c r="D474" t="s">
        <v>3038</v>
      </c>
      <c r="E474" t="s">
        <v>4239</v>
      </c>
      <c r="F474" t="s">
        <v>64</v>
      </c>
    </row>
    <row r="475" spans="1:6" hidden="1">
      <c r="A475" t="s">
        <v>4238</v>
      </c>
      <c r="B475" t="s">
        <v>2932</v>
      </c>
      <c r="C475">
        <v>325100</v>
      </c>
      <c r="D475" t="s">
        <v>3038</v>
      </c>
      <c r="E475" t="s">
        <v>3414</v>
      </c>
      <c r="F475" t="s">
        <v>64</v>
      </c>
    </row>
    <row r="476" spans="1:6" hidden="1">
      <c r="A476" t="s">
        <v>4240</v>
      </c>
      <c r="B476" t="s">
        <v>2932</v>
      </c>
      <c r="C476">
        <v>325105</v>
      </c>
      <c r="D476" t="s">
        <v>3050</v>
      </c>
      <c r="E476" t="s">
        <v>3601</v>
      </c>
      <c r="F476" t="s">
        <v>64</v>
      </c>
    </row>
    <row r="477" spans="1:6" hidden="1">
      <c r="A477" t="s">
        <v>4241</v>
      </c>
      <c r="B477" t="s">
        <v>2932</v>
      </c>
      <c r="C477">
        <v>325024</v>
      </c>
      <c r="D477" t="s">
        <v>3050</v>
      </c>
      <c r="E477" t="s">
        <v>4242</v>
      </c>
      <c r="F477" t="s">
        <v>64</v>
      </c>
    </row>
    <row r="478" spans="1:6" hidden="1">
      <c r="A478" t="s">
        <v>4243</v>
      </c>
      <c r="B478" t="s">
        <v>2932</v>
      </c>
      <c r="C478">
        <v>325102</v>
      </c>
      <c r="D478" t="s">
        <v>3038</v>
      </c>
      <c r="E478" t="s">
        <v>4244</v>
      </c>
      <c r="F478" t="s">
        <v>64</v>
      </c>
    </row>
    <row r="479" spans="1:6" hidden="1">
      <c r="A479" t="s">
        <v>4245</v>
      </c>
      <c r="B479" t="s">
        <v>2932</v>
      </c>
      <c r="C479">
        <v>325102</v>
      </c>
      <c r="D479" t="s">
        <v>3038</v>
      </c>
      <c r="E479" t="s">
        <v>4246</v>
      </c>
      <c r="F479" t="s">
        <v>64</v>
      </c>
    </row>
    <row r="480" spans="1:6" hidden="1">
      <c r="A480" t="s">
        <v>4247</v>
      </c>
      <c r="B480" t="s">
        <v>2932</v>
      </c>
      <c r="C480">
        <v>325105</v>
      </c>
      <c r="D480" t="s">
        <v>3038</v>
      </c>
      <c r="E480" t="s">
        <v>4248</v>
      </c>
      <c r="F480" t="s">
        <v>64</v>
      </c>
    </row>
    <row r="481" spans="1:6" hidden="1">
      <c r="A481" t="s">
        <v>4249</v>
      </c>
      <c r="B481" t="s">
        <v>2932</v>
      </c>
      <c r="C481">
        <v>311407</v>
      </c>
      <c r="D481" t="s">
        <v>3777</v>
      </c>
      <c r="E481" t="s">
        <v>3465</v>
      </c>
      <c r="F481" t="s">
        <v>64</v>
      </c>
    </row>
    <row r="482" spans="1:6" hidden="1">
      <c r="A482" t="s">
        <v>4250</v>
      </c>
      <c r="B482" t="s">
        <v>2932</v>
      </c>
      <c r="C482">
        <v>302105</v>
      </c>
      <c r="D482" t="s">
        <v>3038</v>
      </c>
      <c r="E482" t="s">
        <v>4251</v>
      </c>
      <c r="F482" t="s">
        <v>64</v>
      </c>
    </row>
    <row r="483" spans="1:6" hidden="1">
      <c r="A483" t="s">
        <v>4252</v>
      </c>
      <c r="B483" t="s">
        <v>2932</v>
      </c>
      <c r="C483">
        <v>325025</v>
      </c>
      <c r="D483" t="s">
        <v>4253</v>
      </c>
      <c r="E483" t="s">
        <v>3709</v>
      </c>
      <c r="F483" t="s">
        <v>64</v>
      </c>
    </row>
    <row r="484" spans="1:6" hidden="1">
      <c r="A484" t="s">
        <v>4254</v>
      </c>
      <c r="B484" t="s">
        <v>2932</v>
      </c>
      <c r="C484">
        <v>450008</v>
      </c>
      <c r="D484" t="s">
        <v>4255</v>
      </c>
      <c r="E484" t="s">
        <v>4218</v>
      </c>
      <c r="F484" t="s">
        <v>64</v>
      </c>
    </row>
    <row r="485" spans="1:6" hidden="1">
      <c r="A485" t="s">
        <v>4256</v>
      </c>
      <c r="B485" t="s">
        <v>2932</v>
      </c>
      <c r="C485">
        <v>423400</v>
      </c>
      <c r="D485" t="s">
        <v>4257</v>
      </c>
      <c r="E485" t="s">
        <v>4258</v>
      </c>
      <c r="F485" t="s">
        <v>64</v>
      </c>
    </row>
    <row r="486" spans="1:6" hidden="1">
      <c r="A486" t="s">
        <v>4259</v>
      </c>
      <c r="B486" t="s">
        <v>3143</v>
      </c>
      <c r="C486">
        <v>4450</v>
      </c>
      <c r="D486" t="s">
        <v>4260</v>
      </c>
      <c r="E486" t="s">
        <v>4261</v>
      </c>
    </row>
    <row r="487" spans="1:6" hidden="1">
      <c r="A487" t="s">
        <v>4262</v>
      </c>
      <c r="B487" t="s">
        <v>2908</v>
      </c>
      <c r="C487">
        <v>58256</v>
      </c>
      <c r="D487" t="s">
        <v>4263</v>
      </c>
      <c r="E487" t="s">
        <v>4264</v>
      </c>
    </row>
  </sheetData>
  <autoFilter ref="A1:H487" xr:uid="{D6A99253-BF9C-324F-8E0F-5110CE50322C}">
    <filterColumn colId="1">
      <filters>
        <filter val="USA"/>
      </filters>
    </filterColumn>
    <filterColumn colId="5">
      <filters blank="1"/>
    </filterColumn>
  </autoFilter>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61D7D-AC98-3340-9BE8-A7887A16D249}">
  <dimension ref="A1:E15"/>
  <sheetViews>
    <sheetView zoomScale="150" workbookViewId="0">
      <selection activeCell="C12" sqref="C12"/>
    </sheetView>
  </sheetViews>
  <sheetFormatPr defaultColWidth="10.875" defaultRowHeight="15.95"/>
  <cols>
    <col min="1" max="1" width="7.625" style="18" bestFit="1" customWidth="1"/>
    <col min="2" max="2" width="39.125" style="4" customWidth="1"/>
    <col min="3" max="3" width="10.875" style="4"/>
    <col min="4" max="4" width="49" style="4" customWidth="1"/>
    <col min="5" max="5" width="49.625" style="4" customWidth="1"/>
    <col min="6" max="16384" width="10.875" style="4"/>
  </cols>
  <sheetData>
    <row r="1" spans="1:5" s="8" customFormat="1" ht="17.100000000000001">
      <c r="A1" s="17" t="s">
        <v>4265</v>
      </c>
      <c r="B1" s="8" t="s">
        <v>4266</v>
      </c>
      <c r="C1" s="8" t="s">
        <v>4267</v>
      </c>
      <c r="D1" s="8" t="s">
        <v>4268</v>
      </c>
      <c r="E1" s="8" t="s">
        <v>4269</v>
      </c>
    </row>
    <row r="2" spans="1:5" ht="17.100000000000001">
      <c r="A2" s="18">
        <v>1</v>
      </c>
      <c r="B2" s="4" t="s">
        <v>4270</v>
      </c>
      <c r="C2" s="4" t="s">
        <v>2024</v>
      </c>
      <c r="D2" s="4" t="s">
        <v>4271</v>
      </c>
      <c r="E2" s="4" t="s">
        <v>4272</v>
      </c>
    </row>
    <row r="3" spans="1:5" ht="17.100000000000001">
      <c r="A3" s="18">
        <v>2</v>
      </c>
      <c r="B3" s="4" t="s">
        <v>4273</v>
      </c>
      <c r="C3" s="4" t="s">
        <v>1718</v>
      </c>
      <c r="D3" s="4" t="s">
        <v>4274</v>
      </c>
    </row>
    <row r="4" spans="1:5" ht="33.950000000000003">
      <c r="A4" s="18">
        <v>3</v>
      </c>
      <c r="B4" s="4" t="s">
        <v>4275</v>
      </c>
      <c r="C4" s="4" t="s">
        <v>1341</v>
      </c>
      <c r="D4" s="4" t="s">
        <v>4276</v>
      </c>
      <c r="E4" s="4" t="s">
        <v>4277</v>
      </c>
    </row>
    <row r="5" spans="1:5" ht="33.950000000000003">
      <c r="A5" s="18">
        <v>4</v>
      </c>
      <c r="B5" s="4" t="s">
        <v>4278</v>
      </c>
      <c r="C5" s="4" t="s">
        <v>2024</v>
      </c>
      <c r="D5" s="4" t="s">
        <v>4279</v>
      </c>
      <c r="E5" s="4" t="s">
        <v>4280</v>
      </c>
    </row>
    <row r="6" spans="1:5" ht="51">
      <c r="A6" s="18">
        <v>5</v>
      </c>
      <c r="B6" s="4" t="s">
        <v>4281</v>
      </c>
      <c r="C6" s="4" t="s">
        <v>4282</v>
      </c>
      <c r="D6" s="4" t="s">
        <v>4283</v>
      </c>
      <c r="E6" s="4" t="s">
        <v>4284</v>
      </c>
    </row>
    <row r="7" spans="1:5" ht="33.950000000000003">
      <c r="A7" s="18">
        <v>6</v>
      </c>
      <c r="B7" s="4" t="s">
        <v>4285</v>
      </c>
      <c r="C7" s="4" t="s">
        <v>2024</v>
      </c>
      <c r="D7" s="4" t="s">
        <v>4286</v>
      </c>
      <c r="E7" s="4" t="s">
        <v>4287</v>
      </c>
    </row>
    <row r="8" spans="1:5" ht="17.100000000000001">
      <c r="A8" s="18">
        <v>7</v>
      </c>
      <c r="B8" s="4" t="s">
        <v>4288</v>
      </c>
      <c r="C8" s="4" t="s">
        <v>4289</v>
      </c>
      <c r="D8" s="4" t="s">
        <v>4290</v>
      </c>
    </row>
    <row r="9" spans="1:5" ht="33.950000000000003">
      <c r="A9" s="18">
        <v>8</v>
      </c>
      <c r="B9" s="4" t="s">
        <v>4291</v>
      </c>
      <c r="C9" s="4" t="s">
        <v>4292</v>
      </c>
      <c r="D9" s="4" t="s">
        <v>4293</v>
      </c>
      <c r="E9" s="4" t="s">
        <v>4294</v>
      </c>
    </row>
    <row r="10" spans="1:5" ht="17.100000000000001">
      <c r="A10" s="18">
        <v>9</v>
      </c>
      <c r="B10" s="4" t="s">
        <v>4295</v>
      </c>
      <c r="C10" s="4" t="s">
        <v>2024</v>
      </c>
      <c r="D10" s="4" t="s">
        <v>4296</v>
      </c>
    </row>
    <row r="11" spans="1:5" ht="33.950000000000003">
      <c r="A11" s="18">
        <v>10</v>
      </c>
      <c r="B11" s="4" t="s">
        <v>4297</v>
      </c>
      <c r="C11" s="4" t="s">
        <v>4298</v>
      </c>
      <c r="D11" s="4" t="s">
        <v>4299</v>
      </c>
    </row>
    <row r="12" spans="1:5" ht="17.100000000000001">
      <c r="A12" s="18">
        <v>11</v>
      </c>
      <c r="B12" s="4" t="s">
        <v>4300</v>
      </c>
    </row>
    <row r="13" spans="1:5" ht="17.100000000000001">
      <c r="A13" s="18">
        <v>12</v>
      </c>
      <c r="B13" s="4" t="s">
        <v>4301</v>
      </c>
      <c r="C13" s="4" t="s">
        <v>4302</v>
      </c>
    </row>
    <row r="14" spans="1:5" ht="17.100000000000001">
      <c r="A14" s="18">
        <v>13</v>
      </c>
      <c r="B14" s="4" t="s">
        <v>4303</v>
      </c>
      <c r="C14" s="4" t="s">
        <v>2024</v>
      </c>
    </row>
    <row r="15" spans="1:5" ht="17.100000000000001">
      <c r="A15" s="18">
        <v>14</v>
      </c>
      <c r="B15" s="4" t="s">
        <v>4304</v>
      </c>
      <c r="C15" s="4" t="s">
        <v>1718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45089-A166-7744-A5A5-0A37A7B936D9}">
  <dimension ref="A1:F30"/>
  <sheetViews>
    <sheetView workbookViewId="0">
      <selection activeCell="B43" sqref="B43"/>
    </sheetView>
  </sheetViews>
  <sheetFormatPr defaultColWidth="11" defaultRowHeight="15.95"/>
  <cols>
    <col min="1" max="1" width="23.375" bestFit="1" customWidth="1"/>
    <col min="2" max="4" width="54.125" style="4" customWidth="1"/>
    <col min="5" max="5" width="14.875" customWidth="1"/>
  </cols>
  <sheetData>
    <row r="1" spans="1:6" ht="36">
      <c r="A1" s="26" t="s">
        <v>4305</v>
      </c>
      <c r="B1" s="27"/>
      <c r="C1" s="27"/>
      <c r="D1" s="27" t="s">
        <v>4</v>
      </c>
      <c r="E1" s="24" t="s">
        <v>4306</v>
      </c>
      <c r="F1" s="5"/>
    </row>
    <row r="2" spans="1:6">
      <c r="A2" s="7" t="s">
        <v>4307</v>
      </c>
      <c r="B2" s="7"/>
      <c r="C2" s="7"/>
      <c r="D2" s="7"/>
      <c r="E2" s="8"/>
      <c r="F2" s="5"/>
    </row>
    <row r="3" spans="1:6">
      <c r="A3" s="7" t="s">
        <v>4308</v>
      </c>
      <c r="B3" s="7"/>
      <c r="C3" s="7"/>
      <c r="D3" s="7"/>
      <c r="E3" s="8"/>
      <c r="F3" s="5"/>
    </row>
    <row r="4" spans="1:6">
      <c r="A4" s="7" t="s">
        <v>4309</v>
      </c>
      <c r="B4" s="7"/>
      <c r="C4" s="7"/>
      <c r="D4" s="7"/>
    </row>
    <row r="5" spans="1:6">
      <c r="A5" s="7" t="s">
        <v>4310</v>
      </c>
      <c r="B5" s="7"/>
      <c r="C5" s="7"/>
      <c r="D5" s="7"/>
    </row>
    <row r="6" spans="1:6">
      <c r="A6" s="7" t="s">
        <v>4311</v>
      </c>
      <c r="B6" s="7"/>
      <c r="C6" s="7"/>
      <c r="D6" s="7"/>
    </row>
    <row r="7" spans="1:6">
      <c r="A7" s="7" t="s">
        <v>4312</v>
      </c>
      <c r="B7" s="7"/>
      <c r="C7" s="7"/>
      <c r="D7" s="7"/>
    </row>
    <row r="8" spans="1:6">
      <c r="A8" s="7"/>
    </row>
    <row r="9" spans="1:6">
      <c r="A9" s="7" t="s">
        <v>4313</v>
      </c>
    </row>
    <row r="10" spans="1:6">
      <c r="A10" s="7"/>
    </row>
    <row r="11" spans="1:6">
      <c r="A11" s="7" t="s">
        <v>4314</v>
      </c>
    </row>
    <row r="12" spans="1:6">
      <c r="A12" s="7"/>
    </row>
    <row r="13" spans="1:6">
      <c r="A13" s="7" t="s">
        <v>4315</v>
      </c>
    </row>
    <row r="14" spans="1:6" s="5" customFormat="1" ht="17.100000000000001">
      <c r="A14" s="25"/>
      <c r="B14" s="23" t="s">
        <v>4316</v>
      </c>
      <c r="C14" s="24" t="s">
        <v>4317</v>
      </c>
      <c r="D14" s="24"/>
      <c r="E14" s="25" t="s">
        <v>4318</v>
      </c>
    </row>
    <row r="15" spans="1:6">
      <c r="A15" s="7" t="s">
        <v>4319</v>
      </c>
    </row>
    <row r="16" spans="1:6">
      <c r="A16" s="7"/>
    </row>
    <row r="17" spans="1:5">
      <c r="A17" s="7"/>
    </row>
    <row r="18" spans="1:5">
      <c r="A18" s="7"/>
    </row>
    <row r="19" spans="1:5">
      <c r="A19" s="7"/>
      <c r="E19" s="6"/>
    </row>
    <row r="20" spans="1:5">
      <c r="A20" s="7"/>
      <c r="E20" s="6"/>
    </row>
    <row r="21" spans="1:5">
      <c r="A21" s="3"/>
      <c r="E21" s="6"/>
    </row>
    <row r="22" spans="1:5">
      <c r="A22" s="3"/>
    </row>
    <row r="23" spans="1:5">
      <c r="A23" s="7" t="s">
        <v>4320</v>
      </c>
    </row>
    <row r="24" spans="1:5">
      <c r="A24" s="7"/>
    </row>
    <row r="25" spans="1:5">
      <c r="A25" s="3"/>
    </row>
    <row r="26" spans="1:5">
      <c r="A26" s="7"/>
    </row>
    <row r="27" spans="1:5">
      <c r="A27" s="7"/>
    </row>
    <row r="28" spans="1:5">
      <c r="A28" s="7"/>
    </row>
    <row r="29" spans="1:5">
      <c r="A29" s="7"/>
    </row>
    <row r="30" spans="1:5">
      <c r="A30" s="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26D3A-8494-6642-839B-505E2A735DCF}">
  <sheetPr>
    <tabColor theme="9"/>
  </sheetPr>
  <dimension ref="A1:F40"/>
  <sheetViews>
    <sheetView topLeftCell="A4" workbookViewId="0">
      <selection activeCell="C28" sqref="C28"/>
    </sheetView>
  </sheetViews>
  <sheetFormatPr defaultColWidth="11" defaultRowHeight="15.95"/>
  <cols>
    <col min="1" max="1" width="23.375" bestFit="1" customWidth="1"/>
    <col min="2" max="4" width="54.125" style="4" customWidth="1"/>
    <col min="5" max="5" width="14.875" customWidth="1"/>
  </cols>
  <sheetData>
    <row r="1" spans="1:6" ht="36">
      <c r="A1" s="26" t="s">
        <v>4305</v>
      </c>
      <c r="B1" s="27" t="s">
        <v>4321</v>
      </c>
      <c r="C1" s="27"/>
      <c r="D1" s="27"/>
      <c r="E1" s="24" t="s">
        <v>4306</v>
      </c>
      <c r="F1" s="5"/>
    </row>
    <row r="2" spans="1:6" ht="23.1">
      <c r="A2" s="7" t="s">
        <v>4307</v>
      </c>
      <c r="B2" s="16" t="s">
        <v>4322</v>
      </c>
      <c r="C2" s="16"/>
      <c r="D2" s="16"/>
      <c r="E2" s="8" t="s">
        <v>32</v>
      </c>
      <c r="F2" s="5"/>
    </row>
    <row r="3" spans="1:6" ht="23.1">
      <c r="A3" s="7" t="s">
        <v>4308</v>
      </c>
      <c r="B3" s="16" t="s">
        <v>4323</v>
      </c>
      <c r="C3" s="16"/>
      <c r="D3" s="16"/>
      <c r="E3" s="8"/>
      <c r="F3" s="5"/>
    </row>
    <row r="4" spans="1:6">
      <c r="A4" s="7" t="s">
        <v>4309</v>
      </c>
    </row>
    <row r="5" spans="1:6">
      <c r="A5" s="7" t="s">
        <v>4310</v>
      </c>
    </row>
    <row r="6" spans="1:6">
      <c r="A6" s="7" t="s">
        <v>4311</v>
      </c>
    </row>
    <row r="7" spans="1:6">
      <c r="A7" s="7" t="s">
        <v>4312</v>
      </c>
    </row>
    <row r="8" spans="1:6">
      <c r="A8" s="7"/>
    </row>
    <row r="9" spans="1:6" ht="17.100000000000001">
      <c r="A9" s="7" t="s">
        <v>4313</v>
      </c>
      <c r="B9" s="4" t="s">
        <v>66</v>
      </c>
    </row>
    <row r="10" spans="1:6">
      <c r="A10" s="7"/>
    </row>
    <row r="11" spans="1:6" ht="17.100000000000001">
      <c r="A11" s="7" t="s">
        <v>4314</v>
      </c>
      <c r="B11" s="4" t="s">
        <v>4324</v>
      </c>
    </row>
    <row r="12" spans="1:6">
      <c r="A12" s="7"/>
    </row>
    <row r="13" spans="1:6" ht="17.100000000000001">
      <c r="A13" s="7" t="s">
        <v>4315</v>
      </c>
      <c r="B13" s="4" t="s">
        <v>82</v>
      </c>
    </row>
    <row r="14" spans="1:6" s="5" customFormat="1" ht="17.100000000000001">
      <c r="A14" s="25"/>
      <c r="B14" s="23" t="s">
        <v>4316</v>
      </c>
      <c r="C14" s="24" t="s">
        <v>4317</v>
      </c>
      <c r="D14" s="24" t="s">
        <v>4</v>
      </c>
      <c r="E14" s="25" t="s">
        <v>4318</v>
      </c>
    </row>
    <row r="15" spans="1:6" ht="17.100000000000001">
      <c r="A15" s="7" t="s">
        <v>4319</v>
      </c>
      <c r="B15" s="4" t="s">
        <v>4325</v>
      </c>
      <c r="C15" s="4" t="s">
        <v>4326</v>
      </c>
      <c r="D15" s="4" t="s">
        <v>4327</v>
      </c>
    </row>
    <row r="16" spans="1:6" ht="17.100000000000001">
      <c r="A16" s="7"/>
      <c r="B16" s="4" t="s">
        <v>4328</v>
      </c>
      <c r="C16" s="4" t="s">
        <v>4329</v>
      </c>
    </row>
    <row r="17" spans="1:5">
      <c r="A17" s="7"/>
      <c r="B17" s="1" t="s">
        <v>4330</v>
      </c>
    </row>
    <row r="18" spans="1:5">
      <c r="A18" s="7"/>
      <c r="B18" s="1" t="s">
        <v>4331</v>
      </c>
    </row>
    <row r="19" spans="1:5">
      <c r="A19" s="7"/>
      <c r="B19" s="1" t="s">
        <v>4332</v>
      </c>
    </row>
    <row r="20" spans="1:5">
      <c r="A20" s="7"/>
      <c r="B20" s="28" t="s">
        <v>4333</v>
      </c>
    </row>
    <row r="21" spans="1:5" ht="23.1">
      <c r="A21" s="7"/>
      <c r="B21" s="28" t="s">
        <v>4334</v>
      </c>
    </row>
    <row r="22" spans="1:5">
      <c r="A22" s="7"/>
      <c r="B22"/>
    </row>
    <row r="23" spans="1:5">
      <c r="A23" s="7"/>
      <c r="B23" s="1" t="s">
        <v>4335</v>
      </c>
    </row>
    <row r="24" spans="1:5">
      <c r="A24" s="7"/>
      <c r="B24" s="1"/>
    </row>
    <row r="25" spans="1:5">
      <c r="A25" s="7"/>
      <c r="B25" s="1"/>
    </row>
    <row r="26" spans="1:5">
      <c r="A26" s="7"/>
      <c r="B26" s="1"/>
    </row>
    <row r="27" spans="1:5" ht="68.099999999999994">
      <c r="A27" s="7"/>
      <c r="B27" s="4" t="s">
        <v>4336</v>
      </c>
      <c r="C27" s="4" t="s">
        <v>4337</v>
      </c>
    </row>
    <row r="28" spans="1:5" ht="17.100000000000001">
      <c r="A28" s="7"/>
      <c r="B28" s="4" t="s">
        <v>2395</v>
      </c>
      <c r="C28" s="36" t="s">
        <v>4338</v>
      </c>
    </row>
    <row r="29" spans="1:5" ht="17.100000000000001">
      <c r="A29" s="7"/>
      <c r="B29" s="4" t="s">
        <v>4339</v>
      </c>
      <c r="E29" s="6">
        <v>45525</v>
      </c>
    </row>
    <row r="30" spans="1:5" ht="17.100000000000001">
      <c r="A30" s="7"/>
      <c r="B30" s="4" t="s">
        <v>4340</v>
      </c>
      <c r="E30" s="6">
        <v>45525</v>
      </c>
    </row>
    <row r="31" spans="1:5" ht="17.100000000000001">
      <c r="A31" s="3"/>
      <c r="B31" s="4" t="s">
        <v>4341</v>
      </c>
      <c r="E31" s="6">
        <v>45526</v>
      </c>
    </row>
    <row r="32" spans="1:5">
      <c r="A32" s="3"/>
    </row>
    <row r="33" spans="1:1">
      <c r="A33" s="7" t="s">
        <v>4320</v>
      </c>
    </row>
    <row r="34" spans="1:1">
      <c r="A34" s="7"/>
    </row>
    <row r="35" spans="1:1">
      <c r="A35" s="3"/>
    </row>
    <row r="36" spans="1:1">
      <c r="A36" s="7"/>
    </row>
    <row r="37" spans="1:1">
      <c r="A37" s="7"/>
    </row>
    <row r="38" spans="1:1">
      <c r="A38" s="7"/>
    </row>
    <row r="39" spans="1:1">
      <c r="A39" s="7"/>
    </row>
    <row r="40" spans="1:1">
      <c r="A40" s="7"/>
    </row>
  </sheetData>
  <hyperlinks>
    <hyperlink ref="B17" r:id="rId1" display="mailto:jason.ford@markallengroup.com" xr:uid="{C1D7F8FA-21E7-1440-A2F0-058CA803797D}"/>
    <hyperlink ref="B18" r:id="rId2" display="mailto:info@fcegroup.it" xr:uid="{CF760F22-5349-EF40-A168-09B8801E0910}"/>
    <hyperlink ref="B19" r:id="rId3" display="mailto:post@crescentpublishing.co.uk" xr:uid="{749694F8-3028-5148-9CE9-753CD7B56516}"/>
    <hyperlink ref="B23" r:id="rId4" display="mailto:mark.selby@energyvoice.com" xr:uid="{3DEA4960-D85F-0347-9AA4-A34DCCCB3AB2}"/>
    <hyperlink ref="C28" r:id="rId5" xr:uid="{57B3B042-84CE-1A4E-A157-C0380E0D0E31}"/>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1A0E7-DC48-2C4A-B3EC-BE16EF231B0D}">
  <sheetPr>
    <tabColor theme="9"/>
  </sheetPr>
  <dimension ref="A1:G49"/>
  <sheetViews>
    <sheetView workbookViewId="0">
      <selection activeCell="C15" sqref="C15"/>
    </sheetView>
  </sheetViews>
  <sheetFormatPr defaultColWidth="11" defaultRowHeight="15.95"/>
  <cols>
    <col min="1" max="1" width="23.375" bestFit="1" customWidth="1"/>
    <col min="2" max="2" width="46.5" style="4" customWidth="1"/>
    <col min="3" max="4" width="54.125" style="4" customWidth="1"/>
    <col min="5" max="5" width="15.625" style="4" customWidth="1"/>
    <col min="6" max="6" width="14.875" customWidth="1"/>
  </cols>
  <sheetData>
    <row r="1" spans="1:7" ht="23.1">
      <c r="A1" s="26" t="s">
        <v>4305</v>
      </c>
      <c r="B1" s="267"/>
      <c r="C1" s="27" t="s">
        <v>4342</v>
      </c>
      <c r="D1" s="24" t="s">
        <v>4306</v>
      </c>
      <c r="E1" s="24"/>
      <c r="F1" s="24" t="s">
        <v>32</v>
      </c>
      <c r="G1" s="5"/>
    </row>
    <row r="2" spans="1:7" ht="23.1">
      <c r="A2" s="7" t="s">
        <v>4307</v>
      </c>
      <c r="B2" s="226"/>
      <c r="C2" s="9" t="s">
        <v>42</v>
      </c>
      <c r="D2" s="9" t="s">
        <v>4343</v>
      </c>
      <c r="E2" s="9"/>
      <c r="F2" s="8"/>
      <c r="G2" s="5"/>
    </row>
    <row r="3" spans="1:7" ht="23.1">
      <c r="A3" s="7" t="s">
        <v>4308</v>
      </c>
      <c r="B3" s="226"/>
      <c r="C3" s="9" t="s">
        <v>4344</v>
      </c>
      <c r="D3" s="9"/>
      <c r="E3" s="9"/>
      <c r="F3" s="8"/>
      <c r="G3" s="5"/>
    </row>
    <row r="4" spans="1:7" ht="17.100000000000001">
      <c r="A4" s="7" t="s">
        <v>4309</v>
      </c>
      <c r="B4" s="226"/>
      <c r="C4" s="4" t="s">
        <v>4345</v>
      </c>
    </row>
    <row r="5" spans="1:7" ht="17.100000000000001">
      <c r="A5" s="7" t="s">
        <v>4310</v>
      </c>
      <c r="B5" s="226"/>
      <c r="C5" s="4" t="s">
        <v>4346</v>
      </c>
    </row>
    <row r="6" spans="1:7">
      <c r="A6" s="7" t="s">
        <v>4311</v>
      </c>
      <c r="B6" s="226"/>
    </row>
    <row r="7" spans="1:7" ht="17.100000000000001">
      <c r="A7" s="7" t="s">
        <v>4312</v>
      </c>
      <c r="B7" s="226"/>
      <c r="C7" s="4" t="s">
        <v>4347</v>
      </c>
    </row>
    <row r="8" spans="1:7">
      <c r="A8" s="7"/>
      <c r="B8" s="226"/>
    </row>
    <row r="9" spans="1:7" ht="17.100000000000001">
      <c r="A9" s="7" t="s">
        <v>4313</v>
      </c>
      <c r="B9" s="226"/>
      <c r="C9" s="4" t="s">
        <v>4348</v>
      </c>
    </row>
    <row r="10" spans="1:7">
      <c r="A10" s="7"/>
      <c r="B10" s="226"/>
    </row>
    <row r="11" spans="1:7">
      <c r="A11" s="7" t="s">
        <v>4314</v>
      </c>
      <c r="B11" s="226"/>
    </row>
    <row r="12" spans="1:7">
      <c r="A12" s="7"/>
      <c r="B12" s="226"/>
    </row>
    <row r="13" spans="1:7" ht="17.100000000000001">
      <c r="A13" s="7" t="s">
        <v>4315</v>
      </c>
      <c r="B13" s="226"/>
      <c r="C13" s="4" t="s">
        <v>4349</v>
      </c>
    </row>
    <row r="14" spans="1:7" s="5" customFormat="1" ht="17.100000000000001">
      <c r="A14" s="26" t="s">
        <v>2183</v>
      </c>
      <c r="B14" s="24" t="s">
        <v>4350</v>
      </c>
      <c r="C14" s="23" t="s">
        <v>4316</v>
      </c>
      <c r="D14" s="24" t="s">
        <v>4317</v>
      </c>
      <c r="E14" s="24" t="s">
        <v>4</v>
      </c>
      <c r="F14" s="25" t="s">
        <v>4318</v>
      </c>
    </row>
    <row r="15" spans="1:7" s="270" customFormat="1" ht="204">
      <c r="A15" s="272">
        <v>45895</v>
      </c>
      <c r="B15" s="269" t="s">
        <v>4351</v>
      </c>
      <c r="C15" s="213" t="s">
        <v>4352</v>
      </c>
      <c r="D15" s="213"/>
      <c r="E15" s="213"/>
      <c r="F15" s="268">
        <v>45525</v>
      </c>
    </row>
    <row r="16" spans="1:7" s="270" customFormat="1">
      <c r="A16" s="273"/>
      <c r="B16" s="269"/>
      <c r="C16" s="213"/>
      <c r="D16" s="213"/>
      <c r="E16" s="213"/>
    </row>
    <row r="17" spans="1:6" s="270" customFormat="1">
      <c r="A17" s="273"/>
      <c r="B17" s="269"/>
      <c r="C17" s="213"/>
      <c r="D17" s="213"/>
      <c r="E17" s="213"/>
    </row>
    <row r="18" spans="1:6" s="270" customFormat="1">
      <c r="A18" s="273"/>
      <c r="B18" s="269"/>
      <c r="C18" s="213"/>
      <c r="D18" s="213"/>
      <c r="E18" s="213"/>
    </row>
    <row r="19" spans="1:6" s="270" customFormat="1">
      <c r="A19" s="273"/>
      <c r="B19" s="269"/>
      <c r="C19" s="213"/>
      <c r="D19" s="213"/>
      <c r="E19" s="213"/>
      <c r="F19" s="268"/>
    </row>
    <row r="20" spans="1:6" s="270" customFormat="1">
      <c r="A20" s="273"/>
      <c r="B20" s="269"/>
      <c r="C20" s="213"/>
      <c r="D20" s="213"/>
      <c r="E20" s="213"/>
      <c r="F20" s="268"/>
    </row>
    <row r="21" spans="1:6" s="270" customFormat="1">
      <c r="A21" s="274"/>
      <c r="B21" s="271"/>
      <c r="C21" s="213"/>
      <c r="D21" s="213"/>
      <c r="E21" s="213"/>
      <c r="F21" s="268"/>
    </row>
    <row r="22" spans="1:6" s="270" customFormat="1">
      <c r="A22" s="274"/>
      <c r="B22" s="271"/>
      <c r="C22" s="213"/>
      <c r="D22" s="213"/>
      <c r="E22" s="213"/>
    </row>
    <row r="23" spans="1:6" s="270" customFormat="1">
      <c r="A23" s="273"/>
      <c r="B23" s="269"/>
      <c r="C23" s="213"/>
      <c r="D23" s="213"/>
      <c r="E23" s="213"/>
    </row>
    <row r="24" spans="1:6" s="270" customFormat="1">
      <c r="A24" s="273"/>
      <c r="B24" s="269"/>
      <c r="C24" s="213"/>
      <c r="D24" s="213"/>
      <c r="E24" s="213"/>
    </row>
    <row r="25" spans="1:6" s="270" customFormat="1">
      <c r="A25" s="274"/>
      <c r="B25" s="271"/>
      <c r="C25" s="213"/>
      <c r="D25" s="213"/>
      <c r="E25" s="213"/>
    </row>
    <row r="26" spans="1:6" s="270" customFormat="1">
      <c r="A26" s="273"/>
      <c r="B26" s="269"/>
      <c r="C26" s="213"/>
      <c r="D26" s="213"/>
      <c r="E26" s="213"/>
    </row>
    <row r="27" spans="1:6" s="270" customFormat="1">
      <c r="A27" s="273"/>
      <c r="B27" s="269"/>
      <c r="C27" s="213"/>
      <c r="D27" s="213"/>
      <c r="E27" s="213"/>
    </row>
    <row r="28" spans="1:6" s="270" customFormat="1">
      <c r="A28" s="273"/>
      <c r="B28" s="269"/>
      <c r="C28" s="213"/>
      <c r="D28" s="213"/>
      <c r="E28" s="213"/>
    </row>
    <row r="29" spans="1:6" s="270" customFormat="1">
      <c r="A29" s="273"/>
      <c r="B29" s="269"/>
      <c r="C29" s="213"/>
      <c r="D29" s="213"/>
      <c r="E29" s="213"/>
    </row>
    <row r="30" spans="1:6" s="270" customFormat="1">
      <c r="A30" s="273"/>
      <c r="B30" s="269"/>
      <c r="C30" s="213"/>
      <c r="D30" s="213"/>
      <c r="E30" s="213"/>
    </row>
    <row r="31" spans="1:6" s="270" customFormat="1">
      <c r="A31" s="20"/>
      <c r="B31" s="213"/>
      <c r="C31" s="213"/>
      <c r="D31" s="213"/>
      <c r="E31" s="213"/>
    </row>
    <row r="32" spans="1:6" s="270" customFormat="1">
      <c r="A32" s="20"/>
      <c r="B32" s="213"/>
      <c r="C32" s="213"/>
      <c r="D32" s="213"/>
      <c r="E32" s="213"/>
    </row>
    <row r="33" spans="1:5" s="270" customFormat="1">
      <c r="A33" s="20"/>
      <c r="B33" s="213"/>
      <c r="C33" s="213"/>
      <c r="D33" s="213"/>
      <c r="E33" s="213"/>
    </row>
    <row r="34" spans="1:5" s="270" customFormat="1">
      <c r="A34" s="20"/>
      <c r="B34" s="213"/>
      <c r="C34" s="213"/>
      <c r="D34" s="213"/>
      <c r="E34" s="213"/>
    </row>
    <row r="35" spans="1:5" s="270" customFormat="1">
      <c r="A35" s="20"/>
      <c r="B35" s="213"/>
      <c r="C35" s="213"/>
      <c r="D35" s="213"/>
      <c r="E35" s="213"/>
    </row>
    <row r="36" spans="1:5" s="270" customFormat="1">
      <c r="A36" s="20"/>
      <c r="B36" s="213"/>
      <c r="C36" s="213"/>
      <c r="D36" s="213"/>
      <c r="E36" s="213"/>
    </row>
    <row r="37" spans="1:5" s="270" customFormat="1">
      <c r="A37" s="20"/>
      <c r="B37" s="213"/>
      <c r="C37" s="213"/>
      <c r="D37" s="213"/>
      <c r="E37" s="213"/>
    </row>
    <row r="38" spans="1:5" s="270" customFormat="1">
      <c r="A38" s="20"/>
      <c r="B38" s="213"/>
      <c r="C38" s="213"/>
      <c r="D38" s="213"/>
      <c r="E38" s="213"/>
    </row>
    <row r="39" spans="1:5" s="270" customFormat="1">
      <c r="A39" s="20"/>
      <c r="B39" s="213"/>
      <c r="C39" s="213"/>
      <c r="D39" s="213"/>
      <c r="E39" s="213"/>
    </row>
    <row r="40" spans="1:5" s="270" customFormat="1">
      <c r="A40" s="20"/>
      <c r="B40" s="213"/>
      <c r="C40" s="213"/>
      <c r="D40" s="213"/>
      <c r="E40" s="213"/>
    </row>
    <row r="41" spans="1:5" s="270" customFormat="1">
      <c r="A41" s="20"/>
      <c r="B41" s="213"/>
      <c r="C41" s="213"/>
      <c r="D41" s="213"/>
      <c r="E41" s="213"/>
    </row>
    <row r="42" spans="1:5" s="270" customFormat="1">
      <c r="A42" s="20"/>
      <c r="B42" s="213"/>
      <c r="C42" s="213"/>
      <c r="D42" s="213"/>
      <c r="E42" s="213"/>
    </row>
    <row r="43" spans="1:5" s="270" customFormat="1">
      <c r="A43" s="20"/>
      <c r="B43" s="213"/>
      <c r="C43" s="213"/>
      <c r="D43" s="213"/>
      <c r="E43" s="213"/>
    </row>
    <row r="44" spans="1:5" s="270" customFormat="1">
      <c r="A44" s="20"/>
      <c r="B44" s="213"/>
      <c r="C44" s="213"/>
      <c r="D44" s="213"/>
      <c r="E44" s="213"/>
    </row>
    <row r="45" spans="1:5" s="270" customFormat="1">
      <c r="A45" s="20"/>
      <c r="B45" s="213"/>
      <c r="C45" s="213"/>
      <c r="D45" s="213"/>
      <c r="E45" s="213"/>
    </row>
    <row r="46" spans="1:5" s="270" customFormat="1">
      <c r="A46" s="20"/>
      <c r="B46" s="213"/>
      <c r="C46" s="213"/>
      <c r="D46" s="213"/>
      <c r="E46" s="213"/>
    </row>
    <row r="47" spans="1:5" s="270" customFormat="1">
      <c r="A47" s="20"/>
      <c r="B47" s="213"/>
      <c r="C47" s="213"/>
      <c r="D47" s="213"/>
      <c r="E47" s="213"/>
    </row>
    <row r="48" spans="1:5" s="270" customFormat="1">
      <c r="A48" s="20"/>
      <c r="B48" s="213"/>
      <c r="C48" s="213"/>
      <c r="D48" s="213"/>
      <c r="E48" s="213"/>
    </row>
    <row r="49" spans="1:1">
      <c r="A49" s="20"/>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1FEA0-5E04-8F4B-AAD8-C3CD18621780}">
  <sheetPr>
    <tabColor theme="9"/>
  </sheetPr>
  <dimension ref="A1:F30"/>
  <sheetViews>
    <sheetView workbookViewId="0">
      <selection activeCell="B20" sqref="B20"/>
    </sheetView>
  </sheetViews>
  <sheetFormatPr defaultColWidth="11" defaultRowHeight="15.95"/>
  <cols>
    <col min="1" max="1" width="23.375" bestFit="1" customWidth="1"/>
    <col min="2" max="4" width="54.125" style="4" customWidth="1"/>
    <col min="5" max="5" width="14.875" customWidth="1"/>
  </cols>
  <sheetData>
    <row r="1" spans="1:6" ht="36">
      <c r="A1" s="26" t="s">
        <v>4305</v>
      </c>
      <c r="B1" s="27" t="s">
        <v>1780</v>
      </c>
      <c r="C1" s="27"/>
      <c r="D1" s="27" t="s">
        <v>4</v>
      </c>
      <c r="E1" s="24" t="s">
        <v>4306</v>
      </c>
      <c r="F1" s="5"/>
    </row>
    <row r="2" spans="1:6" ht="23.1">
      <c r="A2" s="7" t="s">
        <v>4307</v>
      </c>
      <c r="B2" s="29" t="s">
        <v>42</v>
      </c>
      <c r="C2" s="29"/>
      <c r="D2" s="29"/>
      <c r="E2" s="30"/>
      <c r="F2" s="5"/>
    </row>
    <row r="3" spans="1:6" ht="23.1">
      <c r="A3" s="7" t="s">
        <v>4308</v>
      </c>
      <c r="B3" s="29" t="s">
        <v>4353</v>
      </c>
      <c r="C3" s="29"/>
      <c r="D3" s="29"/>
      <c r="E3" s="30"/>
      <c r="F3" s="5"/>
    </row>
    <row r="4" spans="1:6">
      <c r="A4" s="7" t="s">
        <v>4309</v>
      </c>
    </row>
    <row r="5" spans="1:6">
      <c r="A5" s="7" t="s">
        <v>4310</v>
      </c>
    </row>
    <row r="6" spans="1:6">
      <c r="A6" s="7" t="s">
        <v>4311</v>
      </c>
    </row>
    <row r="7" spans="1:6">
      <c r="A7" s="7" t="s">
        <v>4312</v>
      </c>
    </row>
    <row r="8" spans="1:6">
      <c r="A8" s="7"/>
    </row>
    <row r="9" spans="1:6">
      <c r="A9" s="7" t="s">
        <v>4313</v>
      </c>
    </row>
    <row r="10" spans="1:6">
      <c r="A10" s="7"/>
    </row>
    <row r="11" spans="1:6">
      <c r="A11" s="7" t="s">
        <v>4314</v>
      </c>
    </row>
    <row r="12" spans="1:6">
      <c r="A12" s="7"/>
    </row>
    <row r="13" spans="1:6">
      <c r="A13" s="7" t="s">
        <v>4315</v>
      </c>
    </row>
    <row r="14" spans="1:6" s="5" customFormat="1" ht="17.100000000000001">
      <c r="A14" s="25"/>
      <c r="B14" s="23" t="s">
        <v>4316</v>
      </c>
      <c r="C14" s="24" t="s">
        <v>4317</v>
      </c>
      <c r="D14" s="24"/>
      <c r="E14" s="25" t="s">
        <v>4318</v>
      </c>
    </row>
    <row r="15" spans="1:6" ht="17.100000000000001">
      <c r="A15" s="7" t="s">
        <v>4319</v>
      </c>
      <c r="B15" s="4" t="s">
        <v>4354</v>
      </c>
    </row>
    <row r="16" spans="1:6">
      <c r="A16" s="7"/>
    </row>
    <row r="17" spans="1:5" ht="51">
      <c r="A17" s="7"/>
      <c r="B17" s="4" t="s">
        <v>4355</v>
      </c>
    </row>
    <row r="18" spans="1:5">
      <c r="A18" s="7"/>
    </row>
    <row r="19" spans="1:5">
      <c r="A19" s="7"/>
      <c r="E19" s="6"/>
    </row>
    <row r="20" spans="1:5">
      <c r="A20" s="7"/>
      <c r="E20" s="6"/>
    </row>
    <row r="21" spans="1:5">
      <c r="A21" s="3"/>
      <c r="E21" s="6"/>
    </row>
    <row r="22" spans="1:5">
      <c r="A22" s="3"/>
    </row>
    <row r="23" spans="1:5" ht="17.100000000000001">
      <c r="A23" s="7" t="s">
        <v>4320</v>
      </c>
      <c r="B23" s="4" t="s">
        <v>4356</v>
      </c>
    </row>
    <row r="24" spans="1:5">
      <c r="A24" s="7"/>
    </row>
    <row r="25" spans="1:5">
      <c r="A25" s="3"/>
    </row>
    <row r="26" spans="1:5">
      <c r="A26" s="7"/>
    </row>
    <row r="27" spans="1:5">
      <c r="A27" s="7"/>
    </row>
    <row r="28" spans="1:5">
      <c r="A28" s="7"/>
    </row>
    <row r="29" spans="1:5">
      <c r="A29" s="7"/>
    </row>
    <row r="30" spans="1:5">
      <c r="A30" s="7"/>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399DF-E6C0-AD4E-881D-9DFE07A6B8F8}">
  <sheetPr>
    <tabColor theme="9"/>
  </sheetPr>
  <dimension ref="A1:AF33"/>
  <sheetViews>
    <sheetView topLeftCell="I10" zoomScale="173" workbookViewId="0">
      <selection activeCell="Z22" sqref="Z22"/>
    </sheetView>
  </sheetViews>
  <sheetFormatPr defaultColWidth="11" defaultRowHeight="15.95"/>
  <cols>
    <col min="1" max="1" width="23.375" bestFit="1" customWidth="1"/>
    <col min="2" max="4" width="54.125" style="4" customWidth="1"/>
    <col min="5" max="5" width="14.875" customWidth="1"/>
    <col min="9" max="9" width="16.625" bestFit="1" customWidth="1"/>
    <col min="10" max="10" width="30" bestFit="1" customWidth="1"/>
    <col min="12" max="12" width="17.625" bestFit="1" customWidth="1"/>
    <col min="17" max="17" width="13.125" bestFit="1" customWidth="1"/>
  </cols>
  <sheetData>
    <row r="1" spans="1:6" ht="36">
      <c r="A1" s="26" t="s">
        <v>4305</v>
      </c>
      <c r="B1" s="27" t="s">
        <v>110</v>
      </c>
      <c r="C1" s="27"/>
      <c r="D1" s="27" t="s">
        <v>4</v>
      </c>
      <c r="E1" s="24" t="s">
        <v>4306</v>
      </c>
      <c r="F1" s="5"/>
    </row>
    <row r="2" spans="1:6">
      <c r="A2" s="7" t="s">
        <v>4307</v>
      </c>
      <c r="B2" s="44" t="s">
        <v>42</v>
      </c>
      <c r="C2" s="7"/>
      <c r="D2" s="7"/>
      <c r="E2" s="8"/>
      <c r="F2" s="5"/>
    </row>
    <row r="3" spans="1:6">
      <c r="A3" s="7" t="s">
        <v>4308</v>
      </c>
      <c r="B3" s="44" t="s">
        <v>4357</v>
      </c>
      <c r="C3" s="7"/>
      <c r="D3" s="7"/>
      <c r="E3" s="8"/>
      <c r="F3" s="5"/>
    </row>
    <row r="4" spans="1:6">
      <c r="A4" s="7" t="s">
        <v>4309</v>
      </c>
      <c r="B4" s="44" t="s">
        <v>4358</v>
      </c>
      <c r="C4" s="7"/>
      <c r="D4" s="7"/>
    </row>
    <row r="5" spans="1:6">
      <c r="A5" s="7" t="s">
        <v>4310</v>
      </c>
      <c r="B5" s="44" t="s">
        <v>4359</v>
      </c>
      <c r="C5" s="7"/>
      <c r="D5" s="7"/>
    </row>
    <row r="6" spans="1:6">
      <c r="A6" s="7" t="s">
        <v>4311</v>
      </c>
      <c r="B6" s="44" t="s">
        <v>840</v>
      </c>
      <c r="C6" s="7"/>
      <c r="D6" s="7"/>
    </row>
    <row r="7" spans="1:6">
      <c r="A7" s="7" t="s">
        <v>4312</v>
      </c>
      <c r="B7" s="44" t="s">
        <v>840</v>
      </c>
      <c r="C7" s="7"/>
      <c r="D7" s="7"/>
    </row>
    <row r="8" spans="1:6">
      <c r="A8" s="7"/>
      <c r="B8" s="30"/>
    </row>
    <row r="9" spans="1:6" ht="17.100000000000001">
      <c r="A9" s="7" t="s">
        <v>4313</v>
      </c>
      <c r="B9" s="30" t="s">
        <v>4360</v>
      </c>
    </row>
    <row r="10" spans="1:6">
      <c r="A10" s="7"/>
      <c r="B10" s="30"/>
    </row>
    <row r="11" spans="1:6">
      <c r="A11" s="7" t="s">
        <v>4314</v>
      </c>
    </row>
    <row r="12" spans="1:6">
      <c r="A12" s="7"/>
    </row>
    <row r="13" spans="1:6">
      <c r="A13" s="7" t="s">
        <v>4315</v>
      </c>
    </row>
    <row r="14" spans="1:6" s="5" customFormat="1" ht="17.100000000000001">
      <c r="A14" s="25"/>
      <c r="B14" s="23" t="s">
        <v>4316</v>
      </c>
      <c r="C14" s="24" t="s">
        <v>4317</v>
      </c>
      <c r="D14" s="24"/>
      <c r="E14" s="25" t="s">
        <v>4318</v>
      </c>
    </row>
    <row r="15" spans="1:6">
      <c r="A15" s="7" t="s">
        <v>4319</v>
      </c>
    </row>
    <row r="16" spans="1:6">
      <c r="A16" s="3"/>
    </row>
    <row r="17" spans="1:32">
      <c r="A17" s="7" t="s">
        <v>4320</v>
      </c>
    </row>
    <row r="18" spans="1:32">
      <c r="A18" s="7"/>
      <c r="L18" s="19" t="s">
        <v>4361</v>
      </c>
    </row>
    <row r="19" spans="1:32" ht="51">
      <c r="A19" s="3"/>
      <c r="K19" s="51" t="s">
        <v>4362</v>
      </c>
      <c r="L19" t="s">
        <v>4363</v>
      </c>
    </row>
    <row r="20" spans="1:32" s="5" customFormat="1" ht="17.100000000000001">
      <c r="A20" s="25"/>
      <c r="B20" s="23" t="s">
        <v>4316</v>
      </c>
      <c r="C20" s="24" t="s">
        <v>4317</v>
      </c>
      <c r="D20" s="24"/>
      <c r="E20" s="25" t="s">
        <v>4318</v>
      </c>
      <c r="J20" s="5" t="s">
        <v>4364</v>
      </c>
      <c r="K20" s="49" t="s">
        <v>4365</v>
      </c>
      <c r="L20" s="5" t="s">
        <v>4366</v>
      </c>
      <c r="M20" s="50" t="s">
        <v>4367</v>
      </c>
      <c r="N20" s="50" t="s">
        <v>4368</v>
      </c>
      <c r="O20" s="50" t="s">
        <v>4369</v>
      </c>
      <c r="P20" s="50" t="s">
        <v>4370</v>
      </c>
      <c r="Q20" s="50" t="s">
        <v>4371</v>
      </c>
      <c r="R20" s="5" t="s">
        <v>4372</v>
      </c>
      <c r="S20" s="5" t="s">
        <v>4373</v>
      </c>
      <c r="T20" s="5" t="s">
        <v>4374</v>
      </c>
      <c r="U20" s="5" t="s">
        <v>4375</v>
      </c>
      <c r="V20" s="5" t="s">
        <v>4376</v>
      </c>
      <c r="W20" s="5" t="s">
        <v>4377</v>
      </c>
      <c r="X20" s="5" t="s">
        <v>4378</v>
      </c>
      <c r="Y20" s="5" t="s">
        <v>4379</v>
      </c>
      <c r="Z20" s="5" t="s">
        <v>4380</v>
      </c>
      <c r="AA20" s="5" t="s">
        <v>4381</v>
      </c>
      <c r="AB20" s="5" t="s">
        <v>4382</v>
      </c>
      <c r="AC20" s="5" t="s">
        <v>4383</v>
      </c>
      <c r="AD20" s="5" t="s">
        <v>4384</v>
      </c>
      <c r="AE20" s="5" t="s">
        <v>4385</v>
      </c>
      <c r="AF20" s="5" t="s">
        <v>4386</v>
      </c>
    </row>
    <row r="21" spans="1:32">
      <c r="A21" s="7" t="s">
        <v>4387</v>
      </c>
      <c r="G21" t="s">
        <v>4388</v>
      </c>
      <c r="H21">
        <v>2000</v>
      </c>
      <c r="J21" t="s">
        <v>4389</v>
      </c>
      <c r="K21" s="48">
        <v>0</v>
      </c>
      <c r="L21" s="48">
        <v>0</v>
      </c>
      <c r="M21" s="351">
        <v>7.0000000000000007E-2</v>
      </c>
      <c r="N21" s="351"/>
      <c r="O21" s="351"/>
      <c r="P21" s="351"/>
      <c r="Q21" s="351"/>
      <c r="R21" s="351">
        <v>0.08</v>
      </c>
      <c r="S21" s="351"/>
      <c r="T21" s="351"/>
      <c r="U21" s="351"/>
      <c r="V21" s="351"/>
      <c r="W21" s="351">
        <v>0.09</v>
      </c>
      <c r="X21" s="351"/>
      <c r="Y21" s="351"/>
      <c r="Z21" s="351"/>
      <c r="AA21" s="351"/>
      <c r="AB21" s="351">
        <v>0.1</v>
      </c>
      <c r="AC21" s="352"/>
      <c r="AD21" s="352"/>
      <c r="AE21" s="352"/>
      <c r="AF21" s="352"/>
    </row>
    <row r="22" spans="1:32">
      <c r="A22" s="7"/>
      <c r="G22" t="s">
        <v>4390</v>
      </c>
      <c r="H22">
        <f>SUM(6800-H21)/20</f>
        <v>240</v>
      </c>
      <c r="I22" t="s">
        <v>4391</v>
      </c>
      <c r="J22" t="s">
        <v>4392</v>
      </c>
      <c r="K22" s="47">
        <v>240</v>
      </c>
      <c r="L22" s="47">
        <v>250</v>
      </c>
      <c r="M22" s="47">
        <f>SUM(L22)-(M21*$L$22)</f>
        <v>232.5</v>
      </c>
      <c r="N22" s="47">
        <f t="shared" ref="N22:Q22" si="0">SUM(M22)-(N21*M22)</f>
        <v>232.5</v>
      </c>
      <c r="O22" s="47">
        <f t="shared" si="0"/>
        <v>232.5</v>
      </c>
      <c r="P22" s="47">
        <f t="shared" si="0"/>
        <v>232.5</v>
      </c>
      <c r="Q22" s="47">
        <f t="shared" si="0"/>
        <v>232.5</v>
      </c>
      <c r="R22" s="47">
        <f t="shared" ref="R22" si="1">SUM(Q22)-(R21*Q22)</f>
        <v>213.9</v>
      </c>
      <c r="S22" s="47">
        <f t="shared" ref="S22" si="2">SUM(R22)-(S21*R22)</f>
        <v>213.9</v>
      </c>
      <c r="T22" s="47">
        <f t="shared" ref="T22" si="3">SUM(S22)-(T21*S22)</f>
        <v>213.9</v>
      </c>
      <c r="U22" s="47">
        <f t="shared" ref="U22" si="4">SUM(T22)-(U21*T22)</f>
        <v>213.9</v>
      </c>
      <c r="V22" s="47">
        <f t="shared" ref="V22" si="5">SUM(U22)-(V21*U22)</f>
        <v>213.9</v>
      </c>
      <c r="W22" s="47">
        <f t="shared" ref="W22" si="6">SUM(V22)-(W21*V22)</f>
        <v>194.649</v>
      </c>
      <c r="X22" s="47">
        <f t="shared" ref="X22" si="7">SUM(W22)-(X21*W22)</f>
        <v>194.649</v>
      </c>
      <c r="Y22" s="47">
        <f t="shared" ref="Y22" si="8">SUM(X22)-(Y21*X22)</f>
        <v>194.649</v>
      </c>
      <c r="Z22" s="47">
        <f t="shared" ref="Z22" si="9">SUM(Y22)-(Z21*Y22)</f>
        <v>194.649</v>
      </c>
      <c r="AA22" s="47">
        <f t="shared" ref="AA22" si="10">SUM(Z22)-(AA21*Z22)</f>
        <v>194.649</v>
      </c>
      <c r="AB22" s="47">
        <f t="shared" ref="AB22" si="11">SUM(AA22)-(AB21*AA22)</f>
        <v>175.1841</v>
      </c>
      <c r="AC22" s="47">
        <f t="shared" ref="AC22" si="12">SUM(AB22)-(AC21*AB22)</f>
        <v>175.1841</v>
      </c>
      <c r="AD22" s="47">
        <f t="shared" ref="AD22" si="13">SUM(AC22)-(AD21*AC22)</f>
        <v>175.1841</v>
      </c>
      <c r="AE22" s="47">
        <f t="shared" ref="AE22" si="14">SUM(AD22)-(AE21*AD22)</f>
        <v>175.1841</v>
      </c>
      <c r="AF22" s="47">
        <f t="shared" ref="AF22" si="15">SUM(AE22)-(AF21*AE22)</f>
        <v>175.1841</v>
      </c>
    </row>
    <row r="23" spans="1:32">
      <c r="A23" s="7"/>
      <c r="J23" t="s">
        <v>4393</v>
      </c>
      <c r="M23" s="46">
        <f>$L$22-M22</f>
        <v>17.5</v>
      </c>
      <c r="N23" s="46">
        <f t="shared" ref="N23:Q23" si="16">$L$22-N22</f>
        <v>17.5</v>
      </c>
      <c r="O23" s="46">
        <f t="shared" si="16"/>
        <v>17.5</v>
      </c>
      <c r="P23" s="46">
        <f t="shared" si="16"/>
        <v>17.5</v>
      </c>
      <c r="Q23" s="46">
        <f t="shared" si="16"/>
        <v>17.5</v>
      </c>
      <c r="R23" s="46">
        <f t="shared" ref="R23" si="17">$L$22-R22</f>
        <v>36.099999999999994</v>
      </c>
      <c r="S23" s="46">
        <f t="shared" ref="S23" si="18">$L$22-S22</f>
        <v>36.099999999999994</v>
      </c>
      <c r="T23" s="46">
        <f t="shared" ref="T23" si="19">$L$22-T22</f>
        <v>36.099999999999994</v>
      </c>
      <c r="U23" s="46">
        <f t="shared" ref="U23" si="20">$L$22-U22</f>
        <v>36.099999999999994</v>
      </c>
      <c r="V23" s="46">
        <f t="shared" ref="V23" si="21">$L$22-V22</f>
        <v>36.099999999999994</v>
      </c>
      <c r="W23" s="46">
        <f t="shared" ref="W23" si="22">$L$22-W22</f>
        <v>55.350999999999999</v>
      </c>
      <c r="X23" s="46">
        <f t="shared" ref="X23" si="23">$L$22-X22</f>
        <v>55.350999999999999</v>
      </c>
      <c r="Y23" s="46">
        <f t="shared" ref="Y23" si="24">$L$22-Y22</f>
        <v>55.350999999999999</v>
      </c>
      <c r="Z23" s="46">
        <f t="shared" ref="Z23" si="25">$L$22-Z22</f>
        <v>55.350999999999999</v>
      </c>
      <c r="AA23" s="46">
        <f t="shared" ref="AA23:AF23" si="26">$L$22-AA22</f>
        <v>55.350999999999999</v>
      </c>
      <c r="AB23" s="46">
        <f t="shared" si="26"/>
        <v>74.815899999999999</v>
      </c>
      <c r="AC23" s="46">
        <f t="shared" si="26"/>
        <v>74.815899999999999</v>
      </c>
      <c r="AD23" s="46">
        <f t="shared" si="26"/>
        <v>74.815899999999999</v>
      </c>
      <c r="AE23" s="46">
        <f t="shared" si="26"/>
        <v>74.815899999999999</v>
      </c>
      <c r="AF23" s="46">
        <f t="shared" si="26"/>
        <v>74.815899999999999</v>
      </c>
    </row>
    <row r="24" spans="1:32">
      <c r="A24" s="7"/>
      <c r="J24" t="s">
        <v>4394</v>
      </c>
      <c r="M24" s="45">
        <f>SUM(M23/$K$22)</f>
        <v>7.2916666666666671E-2</v>
      </c>
      <c r="N24" s="45">
        <f t="shared" ref="N24:Q24" si="27">SUM(N23/$K$22)</f>
        <v>7.2916666666666671E-2</v>
      </c>
      <c r="O24" s="45">
        <f t="shared" si="27"/>
        <v>7.2916666666666671E-2</v>
      </c>
      <c r="P24" s="45">
        <f t="shared" si="27"/>
        <v>7.2916666666666671E-2</v>
      </c>
      <c r="Q24" s="45">
        <f t="shared" si="27"/>
        <v>7.2916666666666671E-2</v>
      </c>
      <c r="R24" s="45">
        <f t="shared" ref="R24" si="28">SUM(R23/$K$22)</f>
        <v>0.15041666666666664</v>
      </c>
      <c r="S24" s="45">
        <f t="shared" ref="S24" si="29">SUM(S23/$K$22)</f>
        <v>0.15041666666666664</v>
      </c>
      <c r="T24" s="45">
        <f t="shared" ref="T24" si="30">SUM(T23/$K$22)</f>
        <v>0.15041666666666664</v>
      </c>
      <c r="U24" s="45">
        <f t="shared" ref="U24" si="31">SUM(U23/$K$22)</f>
        <v>0.15041666666666664</v>
      </c>
      <c r="V24" s="45">
        <f t="shared" ref="V24" si="32">SUM(V23/$K$22)</f>
        <v>0.15041666666666664</v>
      </c>
      <c r="W24" s="45">
        <f t="shared" ref="W24" si="33">SUM(W23/$K$22)</f>
        <v>0.23062916666666666</v>
      </c>
      <c r="X24" s="45">
        <f t="shared" ref="X24" si="34">SUM(X23/$K$22)</f>
        <v>0.23062916666666666</v>
      </c>
      <c r="Y24" s="45">
        <f t="shared" ref="Y24" si="35">SUM(Y23/$K$22)</f>
        <v>0.23062916666666666</v>
      </c>
      <c r="Z24" s="45">
        <f t="shared" ref="Z24:AA24" si="36">SUM(Z23/$K$22)</f>
        <v>0.23062916666666666</v>
      </c>
      <c r="AA24" s="45">
        <f t="shared" si="36"/>
        <v>0.23062916666666666</v>
      </c>
      <c r="AB24" s="45">
        <f t="shared" ref="AB24:AF24" si="37">SUM(AB23/$K$22)</f>
        <v>0.31173291666666664</v>
      </c>
      <c r="AC24" s="45">
        <f t="shared" si="37"/>
        <v>0.31173291666666664</v>
      </c>
      <c r="AD24" s="45">
        <f t="shared" si="37"/>
        <v>0.31173291666666664</v>
      </c>
      <c r="AE24" s="45">
        <f t="shared" si="37"/>
        <v>0.31173291666666664</v>
      </c>
      <c r="AF24" s="45">
        <f t="shared" si="37"/>
        <v>0.31173291666666664</v>
      </c>
    </row>
    <row r="26" spans="1:32">
      <c r="L26" t="s">
        <v>4395</v>
      </c>
      <c r="M26" t="s">
        <v>4396</v>
      </c>
    </row>
    <row r="27" spans="1:32">
      <c r="L27" t="s">
        <v>4397</v>
      </c>
      <c r="M27" t="s">
        <v>4398</v>
      </c>
      <c r="N27" t="s">
        <v>4399</v>
      </c>
    </row>
    <row r="28" spans="1:32">
      <c r="J28" t="s">
        <v>4400</v>
      </c>
      <c r="K28" t="s">
        <v>4401</v>
      </c>
    </row>
    <row r="29" spans="1:32">
      <c r="K29" t="s">
        <v>4402</v>
      </c>
    </row>
    <row r="32" spans="1:32">
      <c r="J32" t="s">
        <v>4403</v>
      </c>
      <c r="K32" t="s">
        <v>4404</v>
      </c>
    </row>
    <row r="33" spans="11:11">
      <c r="K33" t="s">
        <v>4405</v>
      </c>
    </row>
  </sheetData>
  <mergeCells count="4">
    <mergeCell ref="M21:Q21"/>
    <mergeCell ref="R21:V21"/>
    <mergeCell ref="W21:AA21"/>
    <mergeCell ref="AB21:AF2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58B63-E94C-4B44-A271-ECBCC93B488A}">
  <sheetPr>
    <tabColor theme="9"/>
  </sheetPr>
  <dimension ref="A1:F27"/>
  <sheetViews>
    <sheetView workbookViewId="0">
      <selection activeCell="C19" sqref="C19"/>
    </sheetView>
  </sheetViews>
  <sheetFormatPr defaultColWidth="11" defaultRowHeight="15.95"/>
  <cols>
    <col min="1" max="1" width="25.5" bestFit="1" customWidth="1"/>
    <col min="2" max="4" width="54.125" style="4" customWidth="1"/>
    <col min="5" max="5" width="14.875" customWidth="1"/>
  </cols>
  <sheetData>
    <row r="1" spans="1:6" ht="36">
      <c r="A1" s="26" t="s">
        <v>4305</v>
      </c>
      <c r="B1" s="27" t="s">
        <v>2037</v>
      </c>
      <c r="C1" s="27"/>
      <c r="D1" s="27" t="s">
        <v>4</v>
      </c>
      <c r="E1" s="24" t="s">
        <v>4306</v>
      </c>
      <c r="F1" s="5"/>
    </row>
    <row r="2" spans="1:6" ht="17.100000000000001">
      <c r="A2" s="7" t="s">
        <v>4307</v>
      </c>
      <c r="B2" s="7" t="s">
        <v>36</v>
      </c>
      <c r="C2" s="7"/>
      <c r="D2" s="7"/>
      <c r="E2" s="8" t="s">
        <v>32</v>
      </c>
      <c r="F2" s="5"/>
    </row>
    <row r="3" spans="1:6" ht="17.100000000000001">
      <c r="A3" s="7" t="s">
        <v>4406</v>
      </c>
      <c r="B3" s="7" t="s">
        <v>4407</v>
      </c>
      <c r="C3" s="7"/>
      <c r="D3" s="7"/>
      <c r="E3" s="8" t="s">
        <v>4408</v>
      </c>
      <c r="F3" s="5"/>
    </row>
    <row r="4" spans="1:6">
      <c r="A4" s="7" t="s">
        <v>4308</v>
      </c>
      <c r="B4" s="7" t="s">
        <v>4409</v>
      </c>
      <c r="C4" s="7"/>
      <c r="D4" s="7"/>
      <c r="E4" s="8"/>
      <c r="F4" s="5"/>
    </row>
    <row r="5" spans="1:6">
      <c r="A5" s="7" t="s">
        <v>4309</v>
      </c>
      <c r="B5" s="7"/>
      <c r="C5" s="7"/>
      <c r="D5" s="7"/>
    </row>
    <row r="6" spans="1:6">
      <c r="A6" s="7" t="s">
        <v>4310</v>
      </c>
      <c r="B6" s="7" t="s">
        <v>4410</v>
      </c>
      <c r="C6" s="7"/>
      <c r="D6" s="7"/>
    </row>
    <row r="7" spans="1:6">
      <c r="A7" s="7" t="s">
        <v>4311</v>
      </c>
      <c r="B7" s="7"/>
      <c r="C7" s="7"/>
      <c r="D7" s="7"/>
    </row>
    <row r="8" spans="1:6">
      <c r="A8" s="7" t="s">
        <v>4411</v>
      </c>
    </row>
    <row r="9" spans="1:6">
      <c r="A9" s="7" t="s">
        <v>4312</v>
      </c>
      <c r="B9" s="7"/>
      <c r="C9" s="7"/>
      <c r="D9" s="7"/>
    </row>
    <row r="11" spans="1:6" ht="17.100000000000001">
      <c r="A11" s="7" t="s">
        <v>4313</v>
      </c>
      <c r="B11" s="4" t="s">
        <v>4412</v>
      </c>
    </row>
    <row r="12" spans="1:6">
      <c r="A12" s="7"/>
    </row>
    <row r="13" spans="1:6">
      <c r="A13" s="7" t="s">
        <v>4314</v>
      </c>
    </row>
    <row r="14" spans="1:6">
      <c r="A14" s="7"/>
    </row>
    <row r="15" spans="1:6" ht="17.100000000000001">
      <c r="A15" s="7" t="s">
        <v>4315</v>
      </c>
      <c r="B15" s="4" t="s">
        <v>219</v>
      </c>
    </row>
    <row r="16" spans="1:6" s="5" customFormat="1" ht="17.100000000000001">
      <c r="A16" s="25"/>
      <c r="B16" s="23" t="s">
        <v>4316</v>
      </c>
      <c r="C16" s="24" t="s">
        <v>4317</v>
      </c>
      <c r="D16" s="24"/>
      <c r="E16" s="25" t="s">
        <v>4318</v>
      </c>
    </row>
    <row r="17" spans="1:3" ht="17.100000000000001">
      <c r="A17" s="7" t="s">
        <v>4319</v>
      </c>
      <c r="B17" s="4" t="s">
        <v>4413</v>
      </c>
    </row>
    <row r="18" spans="1:3" ht="17.100000000000001">
      <c r="A18" s="3"/>
      <c r="B18" s="4" t="s">
        <v>4414</v>
      </c>
      <c r="C18" s="4" t="s">
        <v>2317</v>
      </c>
    </row>
    <row r="19" spans="1:3" ht="17.100000000000001">
      <c r="A19" s="3"/>
      <c r="B19" s="4" t="s">
        <v>4415</v>
      </c>
    </row>
    <row r="20" spans="1:3" ht="17.100000000000001">
      <c r="A20" s="7" t="s">
        <v>4320</v>
      </c>
      <c r="B20" s="4" t="s">
        <v>4416</v>
      </c>
    </row>
    <row r="21" spans="1:3">
      <c r="A21" s="7"/>
    </row>
    <row r="22" spans="1:3">
      <c r="A22" s="3"/>
    </row>
    <row r="23" spans="1:3">
      <c r="A23" s="7"/>
    </row>
    <row r="24" spans="1:3">
      <c r="A24" s="7"/>
    </row>
    <row r="25" spans="1:3">
      <c r="A25" s="7"/>
    </row>
    <row r="26" spans="1:3">
      <c r="A26" s="7"/>
    </row>
    <row r="27" spans="1:3">
      <c r="A2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Moray</dc:creator>
  <cp:keywords/>
  <dc:description/>
  <cp:lastModifiedBy/>
  <cp:revision/>
  <dcterms:created xsi:type="dcterms:W3CDTF">2024-03-26T09:14:27Z</dcterms:created>
  <dcterms:modified xsi:type="dcterms:W3CDTF">2026-02-05T12:03:15Z</dcterms:modified>
  <cp:category/>
  <cp:contentStatus/>
</cp:coreProperties>
</file>