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ain.lawrence\Desktop\"/>
    </mc:Choice>
  </mc:AlternateContent>
  <xr:revisionPtr revIDLastSave="0" documentId="8_{9D7986B2-B4ED-42EF-BFCF-495D4A0D6713}" xr6:coauthVersionLast="47" xr6:coauthVersionMax="47" xr10:uidLastSave="{00000000-0000-0000-0000-000000000000}"/>
  <bookViews>
    <workbookView xWindow="11424" yWindow="0" windowWidth="11712" windowHeight="12336" xr2:uid="{377C5F49-B7C4-487B-8C12-476C289526EF}"/>
  </bookViews>
  <sheets>
    <sheet name="FA OSE" sheetId="1" r:id="rId1"/>
    <sheet name="FA Non OSE" sheetId="2" r:id="rId2"/>
  </sheets>
  <definedNames>
    <definedName name="_xlnm._FilterDatabase" localSheetId="1" hidden="1">'FA Non OSE'!$A$3:$N$3</definedName>
    <definedName name="_xlnm._FilterDatabase" localSheetId="0" hidden="1">'FA OSE'!$A$4:$AE$365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5" i="1" l="1"/>
  <c r="G365" i="1"/>
  <c r="F365" i="1"/>
  <c r="K364" i="1"/>
  <c r="J364" i="1"/>
  <c r="I364" i="1"/>
  <c r="K363" i="1"/>
  <c r="J363" i="1"/>
  <c r="I363" i="1"/>
  <c r="K362" i="1"/>
  <c r="J362" i="1"/>
  <c r="I362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J351" i="1"/>
  <c r="I351" i="1"/>
  <c r="K350" i="1"/>
  <c r="J350" i="1"/>
  <c r="I350" i="1"/>
  <c r="K349" i="1"/>
  <c r="J349" i="1"/>
  <c r="I349" i="1"/>
  <c r="K348" i="1"/>
  <c r="J348" i="1"/>
  <c r="I348" i="1"/>
  <c r="K347" i="1"/>
  <c r="J347" i="1"/>
  <c r="I347" i="1"/>
  <c r="K346" i="1"/>
  <c r="J346" i="1"/>
  <c r="I346" i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J339" i="1"/>
  <c r="I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31" i="1"/>
  <c r="J331" i="1"/>
  <c r="I331" i="1"/>
  <c r="K330" i="1"/>
  <c r="J330" i="1"/>
  <c r="I330" i="1"/>
  <c r="K329" i="1"/>
  <c r="J329" i="1"/>
  <c r="I329" i="1"/>
  <c r="K328" i="1"/>
  <c r="J328" i="1"/>
  <c r="I328" i="1"/>
  <c r="K327" i="1"/>
  <c r="J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I319" i="1"/>
  <c r="K318" i="1"/>
  <c r="J318" i="1"/>
  <c r="I318" i="1"/>
  <c r="K317" i="1"/>
  <c r="J317" i="1"/>
  <c r="I317" i="1"/>
  <c r="K316" i="1"/>
  <c r="J316" i="1"/>
  <c r="I316" i="1"/>
  <c r="K315" i="1"/>
  <c r="J315" i="1"/>
  <c r="I315" i="1"/>
  <c r="K314" i="1"/>
  <c r="J314" i="1"/>
  <c r="I314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J288" i="1"/>
  <c r="I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59" i="1"/>
  <c r="J259" i="1"/>
  <c r="I259" i="1"/>
  <c r="K258" i="1"/>
  <c r="J258" i="1"/>
  <c r="I258" i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1" i="1"/>
  <c r="J221" i="1"/>
  <c r="I221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365" i="1" l="1"/>
  <c r="J365" i="1"/>
  <c r="I365" i="1"/>
</calcChain>
</file>

<file path=xl/sharedStrings.xml><?xml version="1.0" encoding="utf-8"?>
<sst xmlns="http://schemas.openxmlformats.org/spreadsheetml/2006/main" count="3581" uniqueCount="895">
  <si>
    <t>Unique System Trading and Engineering WLL- OSE</t>
  </si>
  <si>
    <t>FA REGISTER  as at Dec'24</t>
  </si>
  <si>
    <t>Amount (QAR)</t>
  </si>
  <si>
    <t>Amount (USD)</t>
  </si>
  <si>
    <t>Asset Id</t>
  </si>
  <si>
    <t>name</t>
  </si>
  <si>
    <t>Asset Name</t>
  </si>
  <si>
    <t>Name</t>
  </si>
  <si>
    <t>Acquisition Date</t>
  </si>
  <si>
    <t>Closing Balance</t>
  </si>
  <si>
    <t>Total Acc Depricaiation</t>
  </si>
  <si>
    <t>Net Balance</t>
  </si>
  <si>
    <t>OnSiteEng</t>
  </si>
  <si>
    <t>catgeory</t>
  </si>
  <si>
    <t>ELECCOMPS000008</t>
  </si>
  <si>
    <t>DELL LATITUDE E5570</t>
  </si>
  <si>
    <t>Elec&amp;Comps</t>
  </si>
  <si>
    <t>ELECCOMPS000009</t>
  </si>
  <si>
    <t>Laptop- Manikandan</t>
  </si>
  <si>
    <t>ELECCOMPS000010</t>
  </si>
  <si>
    <t>Toshiba 1.5Ton Split A/c</t>
  </si>
  <si>
    <t>ELECCOMPS000011</t>
  </si>
  <si>
    <t>ELECCOMPS000012</t>
  </si>
  <si>
    <t>ELECCOMPS000013</t>
  </si>
  <si>
    <t>ELECCOMPS000014</t>
  </si>
  <si>
    <t>Dell Latitude 5490 14" IntelI7</t>
  </si>
  <si>
    <t>ELECCOMPS000015</t>
  </si>
  <si>
    <t>Laptop for Niyas</t>
  </si>
  <si>
    <t>ELECCOMPS000016</t>
  </si>
  <si>
    <t>Computer Monitor &amp; Accessories</t>
  </si>
  <si>
    <t>ELECCOMPS000017</t>
  </si>
  <si>
    <t>Digital Colour Photocopier</t>
  </si>
  <si>
    <t>ELECCOMPS000018</t>
  </si>
  <si>
    <t>Dell Latitude E5480</t>
  </si>
  <si>
    <t>ELECCOMPS000019</t>
  </si>
  <si>
    <t>ELECCOMPS000020</t>
  </si>
  <si>
    <t>ELECCOMPS000022</t>
  </si>
  <si>
    <t>Dell Latitude 5590</t>
  </si>
  <si>
    <t>ELECCOMPS000023</t>
  </si>
  <si>
    <t>DELL LATITUDE 5490</t>
  </si>
  <si>
    <t>ELECCOMPS000028</t>
  </si>
  <si>
    <t>DELL OPTIPLEX 7060MT</t>
  </si>
  <si>
    <t>FF000001_TE</t>
  </si>
  <si>
    <t>Heavy Duty Racking 5 Nos</t>
  </si>
  <si>
    <t>F&amp;F</t>
  </si>
  <si>
    <t>FF000003_TE</t>
  </si>
  <si>
    <t>Split A.C 1.5 Ton 2Nos(Jumbo)</t>
  </si>
  <si>
    <t>FF000006_TE</t>
  </si>
  <si>
    <t>Cabling, insta DB-New WH-Adorn</t>
  </si>
  <si>
    <t>FF000007_TE</t>
  </si>
  <si>
    <t>Gypsum Partiion and Others</t>
  </si>
  <si>
    <t>FF000008_TE</t>
  </si>
  <si>
    <t>Furniture for Office</t>
  </si>
  <si>
    <t>FF000009_TE</t>
  </si>
  <si>
    <t>WorkStation and Round Table</t>
  </si>
  <si>
    <t>FF000010_TE</t>
  </si>
  <si>
    <t>Split AC</t>
  </si>
  <si>
    <t>HPE000025_TE</t>
  </si>
  <si>
    <t xml:space="preserve">1306 
TESON Rig cable 20 m
</t>
  </si>
  <si>
    <t>HPE</t>
  </si>
  <si>
    <t>HPE000026_TE</t>
  </si>
  <si>
    <t xml:space="preserve">TESON II - 50 kN test rig
</t>
  </si>
  <si>
    <t>HPE000027_TE</t>
  </si>
  <si>
    <t>1563
TESON II - 50 kN rig case</t>
  </si>
  <si>
    <t>UQ00063</t>
  </si>
  <si>
    <t>Outland U/W Video System SCU</t>
  </si>
  <si>
    <t>UQ00064</t>
  </si>
  <si>
    <t>Outland Camera</t>
  </si>
  <si>
    <t>UQ00065</t>
  </si>
  <si>
    <t>Outland LED Light</t>
  </si>
  <si>
    <t>UQ00066</t>
  </si>
  <si>
    <t>Camera Cable, Outland - 100M</t>
  </si>
  <si>
    <t>UQ00067</t>
  </si>
  <si>
    <t>Panasonic DVD Recorder, DMR-EH</t>
  </si>
  <si>
    <t>UQ00068</t>
  </si>
  <si>
    <t>Case-US series Roto rack Case</t>
  </si>
  <si>
    <t>UQ00069</t>
  </si>
  <si>
    <t>Monitor LCD</t>
  </si>
  <si>
    <t>UQ00070</t>
  </si>
  <si>
    <t>Buckleys BCM Bathycorrometer</t>
  </si>
  <si>
    <t>UQ00071</t>
  </si>
  <si>
    <t>Buckleys BCM Battery Charger</t>
  </si>
  <si>
    <t>UQ00072</t>
  </si>
  <si>
    <t>UWCM-3036CLAMSHELL PIPE CUTTIN</t>
  </si>
  <si>
    <t>UQ00073</t>
  </si>
  <si>
    <t>UWCM-848 CLAMSHELL PIPE CUTTIN</t>
  </si>
  <si>
    <t>UQ00074</t>
  </si>
  <si>
    <t>CHART RECORDER</t>
  </si>
  <si>
    <t>UQ00075</t>
  </si>
  <si>
    <t>Container shipping STD ISO 20'</t>
  </si>
  <si>
    <t>UQ00076</t>
  </si>
  <si>
    <t>AIR CADDY</t>
  </si>
  <si>
    <t>UQ00077</t>
  </si>
  <si>
    <t>UQ00078</t>
  </si>
  <si>
    <t>HT 420-HOT TAP MACHINE</t>
  </si>
  <si>
    <t>UQ00079</t>
  </si>
  <si>
    <t>PIPE FREEZING JACKET - 8"</t>
  </si>
  <si>
    <t>UQ00080</t>
  </si>
  <si>
    <t>UQ00081</t>
  </si>
  <si>
    <t>HOT TAP ADAPTOR</t>
  </si>
  <si>
    <t>UQ00082</t>
  </si>
  <si>
    <t>GENERAL ASSET</t>
  </si>
  <si>
    <t>UQ00083</t>
  </si>
  <si>
    <t>UQ00084</t>
  </si>
  <si>
    <t>UQ00085</t>
  </si>
  <si>
    <t>UQ00086</t>
  </si>
  <si>
    <t>UQ00087</t>
  </si>
  <si>
    <t>FOOT PUMP</t>
  </si>
  <si>
    <t>UQ00088</t>
  </si>
  <si>
    <t>HOT TAP CUTTER</t>
  </si>
  <si>
    <t>UQ00089</t>
  </si>
  <si>
    <t>MT Mini Flange Facer</t>
  </si>
  <si>
    <t>UQ00090</t>
  </si>
  <si>
    <t>BORING MILL 5" DRILL</t>
  </si>
  <si>
    <t>UQ00091</t>
  </si>
  <si>
    <t>UQ00092</t>
  </si>
  <si>
    <t>PNEUMATIC DRILL</t>
  </si>
  <si>
    <t>UQ00093</t>
  </si>
  <si>
    <t>Gas Alert Clip Extreme.P/N :</t>
  </si>
  <si>
    <t>UQ00094</t>
  </si>
  <si>
    <t>Escape hood with a combination</t>
  </si>
  <si>
    <t>UQ00095</t>
  </si>
  <si>
    <t>AIR MOTOR</t>
  </si>
  <si>
    <t>UQ00096</t>
  </si>
  <si>
    <t>UQ00097</t>
  </si>
  <si>
    <t>UQ00098</t>
  </si>
  <si>
    <t>UQ00099</t>
  </si>
  <si>
    <t>UQ00100</t>
  </si>
  <si>
    <t>UQ00101</t>
  </si>
  <si>
    <t>UQ00102</t>
  </si>
  <si>
    <t>UQ00103</t>
  </si>
  <si>
    <t>PRESSURE TEST PUMP</t>
  </si>
  <si>
    <t>UQ00104</t>
  </si>
  <si>
    <t>Disposable Oxygen Monitor</t>
  </si>
  <si>
    <t>UQ00105</t>
  </si>
  <si>
    <t>UQ00106</t>
  </si>
  <si>
    <t>UQ00107</t>
  </si>
  <si>
    <t>UQ00108</t>
  </si>
  <si>
    <t>UQ00109</t>
  </si>
  <si>
    <t>UQ00110</t>
  </si>
  <si>
    <t>UQ00111</t>
  </si>
  <si>
    <t>Pipe Line Plugging Machine</t>
  </si>
  <si>
    <t>UQ00112</t>
  </si>
  <si>
    <t>UQ00114</t>
  </si>
  <si>
    <t>UWFF-630 Tube Mounting Kit</t>
  </si>
  <si>
    <t>UQ00115</t>
  </si>
  <si>
    <t>UWFF-2872 Tube Mounting Kit</t>
  </si>
  <si>
    <t>UQ00116</t>
  </si>
  <si>
    <t>UQ00117</t>
  </si>
  <si>
    <t>UQ00118</t>
  </si>
  <si>
    <t>RTJ Measuring Kit (R25-R75)</t>
  </si>
  <si>
    <t>UQ00119</t>
  </si>
  <si>
    <t>Tripper Bracket Assembly</t>
  </si>
  <si>
    <t>UQ00120</t>
  </si>
  <si>
    <t>Plug Holder 2.3/4" PCD</t>
  </si>
  <si>
    <t>UQ00121</t>
  </si>
  <si>
    <t>Milling Machine Autofeed 2 M S</t>
  </si>
  <si>
    <t>UQ00122</t>
  </si>
  <si>
    <t>Flange Facing Machine 0-12" -P</t>
  </si>
  <si>
    <t>UQ00123</t>
  </si>
  <si>
    <t>BRISTLE BLASTER PNEUMATIC</t>
  </si>
  <si>
    <t>UQ00124</t>
  </si>
  <si>
    <t>LIFT SENSOR (TISON)</t>
  </si>
  <si>
    <t>UQ00125</t>
  </si>
  <si>
    <t>Cygnus 6+ PRO MK5 Ultrasonic T</t>
  </si>
  <si>
    <t>UQ00134</t>
  </si>
  <si>
    <t>UQ-FF-2872 FLANGE FACING MC</t>
  </si>
  <si>
    <t>UQ00135</t>
  </si>
  <si>
    <t>UQCM-804LC-CLAMSHELL PIPE CUT</t>
  </si>
  <si>
    <t>UQ00136</t>
  </si>
  <si>
    <t>UQCM-808LC-CLAMSHELL PIPE CUT</t>
  </si>
  <si>
    <t>UQ00137</t>
  </si>
  <si>
    <t>UQ-IP100 HOT TAP DRILLING MC</t>
  </si>
  <si>
    <t>UQ00138</t>
  </si>
  <si>
    <t>UQCM-806LC-CLAMSHELL PIPE CUT</t>
  </si>
  <si>
    <t>UQ00139</t>
  </si>
  <si>
    <t>UQ-FF-024 FLANGE FACING MC</t>
  </si>
  <si>
    <t>UQ00140</t>
  </si>
  <si>
    <t>UQ00141</t>
  </si>
  <si>
    <t>IP 406 - HOT TAP MACHINE</t>
  </si>
  <si>
    <t>UQ00142</t>
  </si>
  <si>
    <t>PIPE FREEZING JACKET - 12"</t>
  </si>
  <si>
    <t>UQ00143</t>
  </si>
  <si>
    <t>UQ00144</t>
  </si>
  <si>
    <t>PIPE FREEZING JACKET - 10"</t>
  </si>
  <si>
    <t>UQ00145</t>
  </si>
  <si>
    <t>UQ00146</t>
  </si>
  <si>
    <t>PIPE FREEZING JACKET - 6"</t>
  </si>
  <si>
    <t>UQ00147</t>
  </si>
  <si>
    <t>UQ00148</t>
  </si>
  <si>
    <t>PIPE FREEZING JACKET - 5"</t>
  </si>
  <si>
    <t>UQ00149</t>
  </si>
  <si>
    <t>UQ00150</t>
  </si>
  <si>
    <t>PIPE FREEZING JACKET - 4"</t>
  </si>
  <si>
    <t>UQ00151</t>
  </si>
  <si>
    <t>UQ00152</t>
  </si>
  <si>
    <t>PIPE FREEZING JACKET -3.1/2"</t>
  </si>
  <si>
    <t>UQ00153</t>
  </si>
  <si>
    <t>PIPE FREEZING JACKET - 3.1/2"</t>
  </si>
  <si>
    <t>UQ00154</t>
  </si>
  <si>
    <t>PIPE FREEZING JACKET - 3"</t>
  </si>
  <si>
    <t>UQ00155</t>
  </si>
  <si>
    <t>UQ00156</t>
  </si>
  <si>
    <t>PIPE FREEZING JACKET - 2.1/2"</t>
  </si>
  <si>
    <t>UQ00157</t>
  </si>
  <si>
    <t>UQ00158</t>
  </si>
  <si>
    <t>PIPE FREEZING JACKET - 2"</t>
  </si>
  <si>
    <t>UQ00159</t>
  </si>
  <si>
    <t>UQ00160</t>
  </si>
  <si>
    <t>PIPE FREEZING JACKET - 1.1/2"</t>
  </si>
  <si>
    <t>UQ00161</t>
  </si>
  <si>
    <t>UQ00162</t>
  </si>
  <si>
    <t>PIPE FREEZING JACKET - 1/2"</t>
  </si>
  <si>
    <t>UQ00163</t>
  </si>
  <si>
    <t>UQ00164</t>
  </si>
  <si>
    <t>UQ00165</t>
  </si>
  <si>
    <t>UQ00166</t>
  </si>
  <si>
    <t>INJECTION GUN</t>
  </si>
  <si>
    <t>UQ00167</t>
  </si>
  <si>
    <t>UQ00168</t>
  </si>
  <si>
    <t>Injection Gun Plunger Assembly</t>
  </si>
  <si>
    <t>UQ00169</t>
  </si>
  <si>
    <t>UQ00170</t>
  </si>
  <si>
    <t>Straight Spool With 4" Flange</t>
  </si>
  <si>
    <t>UQ00171</t>
  </si>
  <si>
    <t>UQ00172</t>
  </si>
  <si>
    <t>UQ00173</t>
  </si>
  <si>
    <t>UQ00174</t>
  </si>
  <si>
    <t>Spool with Tee Joints 4" Pipe</t>
  </si>
  <si>
    <t>UQ00175</t>
  </si>
  <si>
    <t>UQ00176</t>
  </si>
  <si>
    <t>CYGNUS 6+ Probe</t>
  </si>
  <si>
    <t>UQ00178</t>
  </si>
  <si>
    <t>VALVE LUBRICATION PUMP</t>
  </si>
  <si>
    <t>UQ00179</t>
  </si>
  <si>
    <t>CLAMSHELL10-6MA SERIAL NO:1606</t>
  </si>
  <si>
    <t>UQ00180</t>
  </si>
  <si>
    <t>CLAMSHELL10-6MA SERIAL NO:1604</t>
  </si>
  <si>
    <t>UQ00181</t>
  </si>
  <si>
    <t>Flange Facer 12-60MI 1500i</t>
  </si>
  <si>
    <t>UQ00182</t>
  </si>
  <si>
    <t>Flange Facer 02-06MA</t>
  </si>
  <si>
    <t>UQ00183</t>
  </si>
  <si>
    <t>UWFF-630 FLANGE FACER</t>
  </si>
  <si>
    <t>UQ00184</t>
  </si>
  <si>
    <t>UQ00185</t>
  </si>
  <si>
    <t>UQ00186</t>
  </si>
  <si>
    <t>UQ00187</t>
  </si>
  <si>
    <t>UQ00188</t>
  </si>
  <si>
    <t>UQ00193</t>
  </si>
  <si>
    <t>B914XXL Hot Tapping Machine</t>
  </si>
  <si>
    <t>UQ00194</t>
  </si>
  <si>
    <t>Weld Tester Flange 3 CL 300</t>
  </si>
  <si>
    <t>UQ00195</t>
  </si>
  <si>
    <t>Hot Tap Cutter - 28"</t>
  </si>
  <si>
    <t>UQ00196</t>
  </si>
  <si>
    <t>UQ00197</t>
  </si>
  <si>
    <t>B914 Hot Tapping Cutter Holder</t>
  </si>
  <si>
    <t>UQ00198</t>
  </si>
  <si>
    <t>B914 Hot Tapping Plug Holder</t>
  </si>
  <si>
    <t>UQ00199</t>
  </si>
  <si>
    <t>UQ00200</t>
  </si>
  <si>
    <t>UQ00201</t>
  </si>
  <si>
    <t>UW-LST-Sandwich Valve-16"x150#</t>
  </si>
  <si>
    <t>UQ00202</t>
  </si>
  <si>
    <t>High Pressure Plug 8</t>
  </si>
  <si>
    <t>UQ00203</t>
  </si>
  <si>
    <t>UQ00204</t>
  </si>
  <si>
    <t>High Pressure Plug 6</t>
  </si>
  <si>
    <t>UQ00205</t>
  </si>
  <si>
    <t>UQ00206</t>
  </si>
  <si>
    <t>UQ00207</t>
  </si>
  <si>
    <t>UQ00208</t>
  </si>
  <si>
    <t>High Pressure Plug 4</t>
  </si>
  <si>
    <t>UQ00209</t>
  </si>
  <si>
    <t>UQ00210</t>
  </si>
  <si>
    <t>UQ00211</t>
  </si>
  <si>
    <t>UQ00212</t>
  </si>
  <si>
    <t>High Pressure Plug 3</t>
  </si>
  <si>
    <t>UQ00213</t>
  </si>
  <si>
    <t>UQ00214</t>
  </si>
  <si>
    <t>UQ00215</t>
  </si>
  <si>
    <t>UQ00216</t>
  </si>
  <si>
    <t>High Pressure Plug 2</t>
  </si>
  <si>
    <t>UQ00217</t>
  </si>
  <si>
    <t>UQ00218</t>
  </si>
  <si>
    <t>UQ00219</t>
  </si>
  <si>
    <t>UQ00220</t>
  </si>
  <si>
    <t>Weld Tester Flange 0.75 CL 150</t>
  </si>
  <si>
    <t>UQ00221</t>
  </si>
  <si>
    <t>UQ00222</t>
  </si>
  <si>
    <t>Weld Tester Flange 0.75 CL 300</t>
  </si>
  <si>
    <t>UQ00223</t>
  </si>
  <si>
    <t>UQ00224</t>
  </si>
  <si>
    <t>Weld Tester Flange 1 CL 150</t>
  </si>
  <si>
    <t>UQ00225</t>
  </si>
  <si>
    <t>UQ00226</t>
  </si>
  <si>
    <t>UQ00227</t>
  </si>
  <si>
    <t>Weld Tester Flange 1 CL 300</t>
  </si>
  <si>
    <t>UQ00228</t>
  </si>
  <si>
    <t>UQ00229</t>
  </si>
  <si>
    <t>UQ00230</t>
  </si>
  <si>
    <t>Weld Tester Flange 1.5 CL 150</t>
  </si>
  <si>
    <t>UQ00231</t>
  </si>
  <si>
    <t>UQ00232</t>
  </si>
  <si>
    <t>UQ00233</t>
  </si>
  <si>
    <t>UQ00234</t>
  </si>
  <si>
    <t>Weld Tester Flange 2 CL 300</t>
  </si>
  <si>
    <t>UQ00235</t>
  </si>
  <si>
    <t>UQ00236</t>
  </si>
  <si>
    <t>Weld Tester Flange 2 CL 150</t>
  </si>
  <si>
    <t>UQ00237</t>
  </si>
  <si>
    <t>UQ00238</t>
  </si>
  <si>
    <t>UQ00239</t>
  </si>
  <si>
    <t>UQ00240</t>
  </si>
  <si>
    <t>UQ00241</t>
  </si>
  <si>
    <t>UQ00242</t>
  </si>
  <si>
    <t>UQ00243</t>
  </si>
  <si>
    <t>Weld Tester Flange 3 CL 150</t>
  </si>
  <si>
    <t>UQ00244</t>
  </si>
  <si>
    <t>UQ00245</t>
  </si>
  <si>
    <t>UQ00246</t>
  </si>
  <si>
    <t>UQ00248</t>
  </si>
  <si>
    <t>UQ00249</t>
  </si>
  <si>
    <t>UQ00250</t>
  </si>
  <si>
    <t>UQ00251</t>
  </si>
  <si>
    <t>UQ00252</t>
  </si>
  <si>
    <t>UQ00253</t>
  </si>
  <si>
    <t>Weld Tester Flange 4 CL 150</t>
  </si>
  <si>
    <t>UQ00254</t>
  </si>
  <si>
    <t>UQ00255</t>
  </si>
  <si>
    <t>UQ00256</t>
  </si>
  <si>
    <t>UQ00257</t>
  </si>
  <si>
    <t>Weld Tester Flange 4 CL 600</t>
  </si>
  <si>
    <t>UQ00258</t>
  </si>
  <si>
    <t>Weld Tester Flange 6 CL 300</t>
  </si>
  <si>
    <t>UQ00259</t>
  </si>
  <si>
    <t>UQ00260</t>
  </si>
  <si>
    <t>Weld Tester Flange 6 CL 150</t>
  </si>
  <si>
    <t>UQ00261</t>
  </si>
  <si>
    <t>UQ00262</t>
  </si>
  <si>
    <t>UQ00263</t>
  </si>
  <si>
    <t>Weld Tester Flange 8 CL 300</t>
  </si>
  <si>
    <t>UQ00264</t>
  </si>
  <si>
    <t>UQ00265</t>
  </si>
  <si>
    <t>Weld Tester Flange 8 CL 150</t>
  </si>
  <si>
    <t>UQ00266</t>
  </si>
  <si>
    <t>UQ00267</t>
  </si>
  <si>
    <t>Weld Tester Flange 10 CL 150</t>
  </si>
  <si>
    <t>UQ00268</t>
  </si>
  <si>
    <t>Weld Tester Flange 10 CL 300</t>
  </si>
  <si>
    <t>UQ00269</t>
  </si>
  <si>
    <t>UQ00270</t>
  </si>
  <si>
    <t>UQ00271</t>
  </si>
  <si>
    <t>Weld Tester Flange 12 CL 300</t>
  </si>
  <si>
    <t>UQ00272</t>
  </si>
  <si>
    <t>Weld Tester Flange 12 CL 150</t>
  </si>
  <si>
    <t>UQ00273</t>
  </si>
  <si>
    <t>UQ00274</t>
  </si>
  <si>
    <t>UQ00275</t>
  </si>
  <si>
    <t>Weld Tester Flange 1.5 CL 300</t>
  </si>
  <si>
    <t>UQ00276</t>
  </si>
  <si>
    <t>Weld Tester Flange 2 CL 600</t>
  </si>
  <si>
    <t>UQ00278</t>
  </si>
  <si>
    <t>UQ00279</t>
  </si>
  <si>
    <t>Weld Tester Flange 4 CL 300</t>
  </si>
  <si>
    <t>UQ00280</t>
  </si>
  <si>
    <t>UQ00281</t>
  </si>
  <si>
    <t>UQ00283</t>
  </si>
  <si>
    <t>UQ00284</t>
  </si>
  <si>
    <t>UQ00285</t>
  </si>
  <si>
    <t>UQ00286</t>
  </si>
  <si>
    <t>Twin Tyred Duel Tool 2 CL 150</t>
  </si>
  <si>
    <t>UQ00287</t>
  </si>
  <si>
    <t>UQ00288</t>
  </si>
  <si>
    <t>Twin Tyred Duel Tool 3 CL 150</t>
  </si>
  <si>
    <t>UQ00289</t>
  </si>
  <si>
    <t>UQ00290</t>
  </si>
  <si>
    <t>Twin Tyred Duel Tool 4 CL 150</t>
  </si>
  <si>
    <t>UQ00292</t>
  </si>
  <si>
    <t>Twin Tyred Duel Tool 8 CL 150</t>
  </si>
  <si>
    <t>UQ00293</t>
  </si>
  <si>
    <t>Twin Tyred Duel Tool 10 CL 150</t>
  </si>
  <si>
    <t>UQ00294</t>
  </si>
  <si>
    <t>UQ00295</t>
  </si>
  <si>
    <t>Clamshell Pipe Cutting Machine 18-24MA</t>
  </si>
  <si>
    <t/>
  </si>
  <si>
    <t>UQ00296</t>
  </si>
  <si>
    <t>Shipping Container 20'</t>
  </si>
  <si>
    <t>UQ00297</t>
  </si>
  <si>
    <t>Gantry Rail 3M</t>
  </si>
  <si>
    <t>UQ00298</t>
  </si>
  <si>
    <t>Leak Sealing Equipment</t>
  </si>
  <si>
    <t>UQ00299</t>
  </si>
  <si>
    <t>UQ00300</t>
  </si>
  <si>
    <t>Tensioning Head 1In</t>
  </si>
  <si>
    <t>UQ00301</t>
  </si>
  <si>
    <t>UQ00302</t>
  </si>
  <si>
    <t>UQ00303</t>
  </si>
  <si>
    <t>UQ00304</t>
  </si>
  <si>
    <t>PIPE FREEZING JACKET 2"</t>
  </si>
  <si>
    <t>UQ00305</t>
  </si>
  <si>
    <t>UQ00306</t>
  </si>
  <si>
    <t>PIPE FREEZING JACKET 4"</t>
  </si>
  <si>
    <t>UQ00307</t>
  </si>
  <si>
    <t>HOT TAP ADAPTOR 6"x 300#(TM-76</t>
  </si>
  <si>
    <t>UQ00308</t>
  </si>
  <si>
    <t>HOT TAP ADAPTOR 8"x 300(TM-760</t>
  </si>
  <si>
    <t>UQ00309</t>
  </si>
  <si>
    <t>HOT TAP ADAPTOR 2"x 150#</t>
  </si>
  <si>
    <t>UQ00310</t>
  </si>
  <si>
    <t>HOT TAP ADAPTOR 3"x 150#(TM-10</t>
  </si>
  <si>
    <t>UQ00311</t>
  </si>
  <si>
    <t>HOT TAP ADAPTOR 4"x 150#(TM-10</t>
  </si>
  <si>
    <t>UQ00312</t>
  </si>
  <si>
    <t>HOT TAP ADAPTOR 24"x 150#(TM-9</t>
  </si>
  <si>
    <t>UQ00313</t>
  </si>
  <si>
    <t>Hot Tap Cutter  08 HT</t>
  </si>
  <si>
    <t>UQ00314</t>
  </si>
  <si>
    <t>UQ00315</t>
  </si>
  <si>
    <t>UQ00316</t>
  </si>
  <si>
    <t>UQ00317</t>
  </si>
  <si>
    <t>Hot Tap Cutter  10 HT</t>
  </si>
  <si>
    <t>UQ00318</t>
  </si>
  <si>
    <t>Hot Tap Cutter 20 HT</t>
  </si>
  <si>
    <t>UQ00319</t>
  </si>
  <si>
    <t>Line Stop Cutter  24 LS</t>
  </si>
  <si>
    <t>UQ00320</t>
  </si>
  <si>
    <t>Hot Tap Cutter 14 HT</t>
  </si>
  <si>
    <t>UQ00321</t>
  </si>
  <si>
    <t>Hot Tap Cutter 24 HT</t>
  </si>
  <si>
    <t>UQ00322</t>
  </si>
  <si>
    <t>Air Motor 4800</t>
  </si>
  <si>
    <t>UQ00323</t>
  </si>
  <si>
    <t>UQ00324</t>
  </si>
  <si>
    <t>UQ00325</t>
  </si>
  <si>
    <t>UQ00326</t>
  </si>
  <si>
    <t>AIR MOTOR FOR HT40</t>
  </si>
  <si>
    <t>UQ00327</t>
  </si>
  <si>
    <t>AIR MOTOR BORING MC</t>
  </si>
  <si>
    <t>UQ00328</t>
  </si>
  <si>
    <t>AIR MOTOR MILL RAIL</t>
  </si>
  <si>
    <t>UQ00329</t>
  </si>
  <si>
    <t>AIR MOTOR UW 100</t>
  </si>
  <si>
    <t>UQ00330</t>
  </si>
  <si>
    <t>Valve Lubrication Pump 15K psi</t>
  </si>
  <si>
    <t>UQ00332</t>
  </si>
  <si>
    <t>Hydraulic Motor</t>
  </si>
  <si>
    <t>UQ00333</t>
  </si>
  <si>
    <t>Hot Tap Adaptor  04-CL150</t>
  </si>
  <si>
    <t>UQ00334</t>
  </si>
  <si>
    <t>Hydraulic Power Pack- Diesel</t>
  </si>
  <si>
    <t>UQ00335</t>
  </si>
  <si>
    <t>Tool Block Slide No:3</t>
  </si>
  <si>
    <t>UQ00336</t>
  </si>
  <si>
    <t>UQ00337</t>
  </si>
  <si>
    <t>UQ00338</t>
  </si>
  <si>
    <t>Hot Tap Cutter  06 HT</t>
  </si>
  <si>
    <t>UQ00339</t>
  </si>
  <si>
    <t>UQ00340</t>
  </si>
  <si>
    <t>UQ00341</t>
  </si>
  <si>
    <t>HOT TAP ADAPTOR 10"x150#</t>
  </si>
  <si>
    <t>UQ00342</t>
  </si>
  <si>
    <t>HOT TAP ADAPTOR 12"X 150#</t>
  </si>
  <si>
    <t>UQ00343</t>
  </si>
  <si>
    <t>HOT TAP ADAPTOR 20"X150#</t>
  </si>
  <si>
    <t>UQ00344</t>
  </si>
  <si>
    <t>UQ00345</t>
  </si>
  <si>
    <t>UQ00346</t>
  </si>
  <si>
    <t>UQ00347</t>
  </si>
  <si>
    <t>UQ00348</t>
  </si>
  <si>
    <t>UQ00349</t>
  </si>
  <si>
    <t>UQ00350</t>
  </si>
  <si>
    <t>Gearbox DL</t>
  </si>
  <si>
    <t>UQ00351</t>
  </si>
  <si>
    <t>UQ00352</t>
  </si>
  <si>
    <t>HOT TAP ADAPTOR 2"x 300#</t>
  </si>
  <si>
    <t>UQ00353</t>
  </si>
  <si>
    <t>HOT TAP ADAPTOR 3"x 600#</t>
  </si>
  <si>
    <t>UQ00354</t>
  </si>
  <si>
    <t>UQ00355</t>
  </si>
  <si>
    <t>Hot Tap Adaptor  10-CL150</t>
  </si>
  <si>
    <t>UQ00356</t>
  </si>
  <si>
    <t>Pilot Drill 32mm Dia</t>
  </si>
  <si>
    <t>UQ00357</t>
  </si>
  <si>
    <t>UQ00358</t>
  </si>
  <si>
    <t>UQ00359</t>
  </si>
  <si>
    <t>UQ00360</t>
  </si>
  <si>
    <t>Milling Rail 2.2M MI</t>
  </si>
  <si>
    <t>UQ00361</t>
  </si>
  <si>
    <t>HOT TAP CUTTER 20" DET</t>
  </si>
  <si>
    <t>UQ00362</t>
  </si>
  <si>
    <t>Unitest Transit Case</t>
  </si>
  <si>
    <t>UQ00363</t>
  </si>
  <si>
    <t>Unitest Test Rig Assembly 01KN</t>
  </si>
  <si>
    <t>UQ00364</t>
  </si>
  <si>
    <t>Unitest Test Rig Assembly 10KN</t>
  </si>
  <si>
    <t>UQ00365</t>
  </si>
  <si>
    <t>Unitest Test Rig Assembly 20KN</t>
  </si>
  <si>
    <t>UQ00366</t>
  </si>
  <si>
    <t>Unitest/Valve Test Laptop</t>
  </si>
  <si>
    <t>UQ00367</t>
  </si>
  <si>
    <t>UQ00368</t>
  </si>
  <si>
    <t>HOT TAP ADAPTOR- 14" x 150#</t>
  </si>
  <si>
    <t>UQ00369</t>
  </si>
  <si>
    <t>Htdraulic Hand Pump 10K</t>
  </si>
  <si>
    <t>UQ00370</t>
  </si>
  <si>
    <t>Crimping Tool 2IN NB</t>
  </si>
  <si>
    <t>UQ00371</t>
  </si>
  <si>
    <t>Clamshell Pipe Cutting Machine 06-12MA</t>
  </si>
  <si>
    <t>UQ00372</t>
  </si>
  <si>
    <t>Clamshell Pipe Cutting Machine 10-16MA</t>
  </si>
  <si>
    <t>UQ00373</t>
  </si>
  <si>
    <t>UQ00374</t>
  </si>
  <si>
    <t>UQ00375</t>
  </si>
  <si>
    <t>Line Stop Head 30-CL600</t>
  </si>
  <si>
    <t>UQ00376</t>
  </si>
  <si>
    <t>UQ00377</t>
  </si>
  <si>
    <t>Line Stop Cutter 30 LS</t>
  </si>
  <si>
    <t>UQ00378</t>
  </si>
  <si>
    <t>UQ00379</t>
  </si>
  <si>
    <t>UQ00380</t>
  </si>
  <si>
    <t>UQ00381</t>
  </si>
  <si>
    <t>UQ00382</t>
  </si>
  <si>
    <t>UWSV-SANDWICH VALVE - 30"X 150</t>
  </si>
  <si>
    <t>UQ00383</t>
  </si>
  <si>
    <t>UQ00384</t>
  </si>
  <si>
    <t>LINE STOP HOUSING  30" X 150#</t>
  </si>
  <si>
    <t>UQ00385</t>
  </si>
  <si>
    <t>UQ00386</t>
  </si>
  <si>
    <t>Line Stop Actuator 104"</t>
  </si>
  <si>
    <t>UQ00388</t>
  </si>
  <si>
    <t>HOT TAP/LINE STOP ADAPTOR 30"</t>
  </si>
  <si>
    <t>UQ00389</t>
  </si>
  <si>
    <t>UQ00390</t>
  </si>
  <si>
    <t>UQ00391</t>
  </si>
  <si>
    <t>UQ00392</t>
  </si>
  <si>
    <t>HOT TAP ADAPTOR RF 10" x 600#</t>
  </si>
  <si>
    <t>UQ00393</t>
  </si>
  <si>
    <t>UQ00394</t>
  </si>
  <si>
    <t>UQ00395</t>
  </si>
  <si>
    <t>HOT TAP ADAPTOR RF 6" x 600#</t>
  </si>
  <si>
    <t>UQ00396</t>
  </si>
  <si>
    <t>UQ00397</t>
  </si>
  <si>
    <t>Line Stop Head - 6" x 600#</t>
  </si>
  <si>
    <t>UQ00398</t>
  </si>
  <si>
    <t>Line Stop Head - 8' x 600#</t>
  </si>
  <si>
    <t>UQ00399</t>
  </si>
  <si>
    <t>Cross Over Spool COS 10” 600#</t>
  </si>
  <si>
    <t>UQ00400</t>
  </si>
  <si>
    <t>Line Stop Head 20"X 600#</t>
  </si>
  <si>
    <t>UQ00401</t>
  </si>
  <si>
    <t>HOT TAP ADAPTOR RF 16" x 300#</t>
  </si>
  <si>
    <t>UQ00402</t>
  </si>
  <si>
    <t>Clamshell Pipe Cutting Machine 14-20DL</t>
  </si>
  <si>
    <t>UQ00403</t>
  </si>
  <si>
    <t>Sandwich Valve - 6"x 150#</t>
  </si>
  <si>
    <t>UQ00404</t>
  </si>
  <si>
    <t>Line Stop Head - 16" x 600#</t>
  </si>
  <si>
    <t>UQ00405</t>
  </si>
  <si>
    <t>HOT TAP ADAPTOR RF 20" x 600#</t>
  </si>
  <si>
    <t>UQ00406</t>
  </si>
  <si>
    <t>Sandwich Valve UWSV - 10"x 600</t>
  </si>
  <si>
    <t>UQ00407</t>
  </si>
  <si>
    <t>Line Stop Actuator 72"</t>
  </si>
  <si>
    <t>UQ00408</t>
  </si>
  <si>
    <t>Hot Tap Adaptor 5</t>
  </si>
  <si>
    <t>UQ00409</t>
  </si>
  <si>
    <t>MULTI 'U' ROD PILOT DRILL 24"</t>
  </si>
  <si>
    <t>UQ00410</t>
  </si>
  <si>
    <t>UQ00411</t>
  </si>
  <si>
    <t>MULTI 'U' ROD PILOT DRILL 30"</t>
  </si>
  <si>
    <t>UQ00412</t>
  </si>
  <si>
    <t>UQ00420</t>
  </si>
  <si>
    <t>Safety Bow Shackle 300T</t>
  </si>
  <si>
    <t>UQ00421</t>
  </si>
  <si>
    <t>OE000003_TE</t>
  </si>
  <si>
    <t>3 PHASE CONNECTION FOR CONTAIN</t>
  </si>
  <si>
    <t>OFF EQPT</t>
  </si>
  <si>
    <t>OUEQ000001_TE</t>
  </si>
  <si>
    <t>Licota Tool Cabin-377Pc</t>
  </si>
  <si>
    <t>WS EQUIP</t>
  </si>
  <si>
    <t>Total</t>
  </si>
  <si>
    <t>Opening Balance</t>
  </si>
  <si>
    <t>Additions</t>
  </si>
  <si>
    <t>Deductions</t>
  </si>
  <si>
    <t>Opening Acc Deprication</t>
  </si>
  <si>
    <t>Depr For The Period</t>
  </si>
  <si>
    <t>Deduction</t>
  </si>
  <si>
    <t>Maping</t>
  </si>
  <si>
    <t>ELECACOMPS00001</t>
  </si>
  <si>
    <t>Lattitude E5530 &amp; Docking Stat</t>
  </si>
  <si>
    <t>ELECACOMPS00002</t>
  </si>
  <si>
    <t>Lattitude E5430 - Sajjan Jacob</t>
  </si>
  <si>
    <t>ELECACOMPS00003</t>
  </si>
  <si>
    <t>Dell 4220 Projector &amp; ACC</t>
  </si>
  <si>
    <t>ELECACOMPS00004</t>
  </si>
  <si>
    <t>SonicWALL TZ 215 Total Secure</t>
  </si>
  <si>
    <t>ELECCOMPS000005</t>
  </si>
  <si>
    <t>Laptop - Montaser</t>
  </si>
  <si>
    <t>ELECCOMPS000006</t>
  </si>
  <si>
    <t>Lattitude E5450 - Sajjan Jacob</t>
  </si>
  <si>
    <t>ELECCOMPS000024</t>
  </si>
  <si>
    <t>DELL PRECISION WORKSTATION T58</t>
  </si>
  <si>
    <t>ELECCOMPS000025</t>
  </si>
  <si>
    <t>DELLPRECISIONWORKSTATIONT58</t>
  </si>
  <si>
    <t>ELECCOMPS000026</t>
  </si>
  <si>
    <t>FAF000001_UTE</t>
  </si>
  <si>
    <t>Office Interior -Adorn</t>
  </si>
  <si>
    <t>FAF000002_UTE</t>
  </si>
  <si>
    <t>PABX System</t>
  </si>
  <si>
    <t>HPE000001_TE</t>
  </si>
  <si>
    <t>Waterload Bag 5 Ton</t>
  </si>
  <si>
    <t>HPE000002_TE</t>
  </si>
  <si>
    <t>Waterload Bag 10 Ton</t>
  </si>
  <si>
    <t>HPE000003_TE</t>
  </si>
  <si>
    <t>HPE000004_TE</t>
  </si>
  <si>
    <t>Waterload Bag 20 Ton</t>
  </si>
  <si>
    <t>HPE000005_TE</t>
  </si>
  <si>
    <t>HPE000006_TE</t>
  </si>
  <si>
    <t>JCM 100T Telemetry Load Cell</t>
  </si>
  <si>
    <t>HPE000007_TE</t>
  </si>
  <si>
    <t>JCM 50T Telemetry Load Cell</t>
  </si>
  <si>
    <t>HPE000008_TE</t>
  </si>
  <si>
    <t>JCM 25T Telemetry Load Cell</t>
  </si>
  <si>
    <t>HPE000009_TE</t>
  </si>
  <si>
    <t>JCM 12.5T Telemetry Load Cell</t>
  </si>
  <si>
    <t>HPE000010_TE</t>
  </si>
  <si>
    <t>Waterload Bag-35,000Kg-Seaflex</t>
  </si>
  <si>
    <t>HPE000011_TE</t>
  </si>
  <si>
    <t>Water Load Bag-35000Kg Seaflex</t>
  </si>
  <si>
    <t>UQ00001</t>
  </si>
  <si>
    <t>Load Cell 50Tonne Tensile (Tel</t>
  </si>
  <si>
    <t>UQ00002</t>
  </si>
  <si>
    <t>Load Cell Remote Display Unit</t>
  </si>
  <si>
    <t>UQ00003</t>
  </si>
  <si>
    <t>Load Cell 12.5Tonne (Telemetry</t>
  </si>
  <si>
    <t>UQ00004</t>
  </si>
  <si>
    <t>UQ00005</t>
  </si>
  <si>
    <t>Waterload Bags 35Tonne</t>
  </si>
  <si>
    <t>UQ00006</t>
  </si>
  <si>
    <t>UQ00007</t>
  </si>
  <si>
    <t>Waterload Bags 20Tonne</t>
  </si>
  <si>
    <t>UQ00008</t>
  </si>
  <si>
    <t>UQ00009</t>
  </si>
  <si>
    <t>Load Cell 100 Ton, JCM (Remote</t>
  </si>
  <si>
    <t>UQ00010</t>
  </si>
  <si>
    <t>UQ00011</t>
  </si>
  <si>
    <t>UQ00012</t>
  </si>
  <si>
    <t>UQ00013</t>
  </si>
  <si>
    <t>UQ00014</t>
  </si>
  <si>
    <t>Load Cell 25Tonne Tensile (Tel</t>
  </si>
  <si>
    <t>UQ00015</t>
  </si>
  <si>
    <t>UQ00016</t>
  </si>
  <si>
    <t>Lifeboat Test Pump (IR) Air Dr</t>
  </si>
  <si>
    <t>UQ00017</t>
  </si>
  <si>
    <t>Lifeboat Test Filling Hose C/w</t>
  </si>
  <si>
    <t>UQ00018</t>
  </si>
  <si>
    <t>UQ00019</t>
  </si>
  <si>
    <t>UQ00020</t>
  </si>
  <si>
    <t>UQ00021</t>
  </si>
  <si>
    <t>UQ00022</t>
  </si>
  <si>
    <t>UQ00023</t>
  </si>
  <si>
    <t>Lifeboat Test Dump Hose 3" Bor</t>
  </si>
  <si>
    <t>UQ00024</t>
  </si>
  <si>
    <t>Lifeboat Test Suction Hose 3"</t>
  </si>
  <si>
    <t>UQ00025</t>
  </si>
  <si>
    <t>Lifeboat Test Hose Manifold C/</t>
  </si>
  <si>
    <t>UQ00026</t>
  </si>
  <si>
    <t>Lifeboat Test Bag 375 Kg</t>
  </si>
  <si>
    <t>UQ00027</t>
  </si>
  <si>
    <t>UQ00028</t>
  </si>
  <si>
    <t>UQ00029</t>
  </si>
  <si>
    <t>UQ00030</t>
  </si>
  <si>
    <t>UQ00031</t>
  </si>
  <si>
    <t>UQ00032</t>
  </si>
  <si>
    <t>UQ00033</t>
  </si>
  <si>
    <t>UQ00034</t>
  </si>
  <si>
    <t>UQ00035</t>
  </si>
  <si>
    <t>UQ00036</t>
  </si>
  <si>
    <t>UQ00037</t>
  </si>
  <si>
    <t>UQ00038</t>
  </si>
  <si>
    <t>UQ00039</t>
  </si>
  <si>
    <t>UQ00040</t>
  </si>
  <si>
    <t>UQ00041</t>
  </si>
  <si>
    <t>UQ00042</t>
  </si>
  <si>
    <t>UQ00043</t>
  </si>
  <si>
    <t>UQ00044</t>
  </si>
  <si>
    <t>UQ00045</t>
  </si>
  <si>
    <t>UQ00046</t>
  </si>
  <si>
    <t>UQ00047</t>
  </si>
  <si>
    <t>UQ00048</t>
  </si>
  <si>
    <t>UQ00049</t>
  </si>
  <si>
    <t>UQ00050</t>
  </si>
  <si>
    <t>UQ00051</t>
  </si>
  <si>
    <t>UQ00052</t>
  </si>
  <si>
    <t>UQ00053</t>
  </si>
  <si>
    <t>UQ00054</t>
  </si>
  <si>
    <t>UQ00055</t>
  </si>
  <si>
    <t>UQ00056</t>
  </si>
  <si>
    <t>Airlift Bag 1 Ton ALB</t>
  </si>
  <si>
    <t>UQ00057</t>
  </si>
  <si>
    <t>UQ00058</t>
  </si>
  <si>
    <t>UQ00059</t>
  </si>
  <si>
    <t>UQ00060</t>
  </si>
  <si>
    <t>Cygnus 1  Remote Probe 13mm c/</t>
  </si>
  <si>
    <t>UQ00061</t>
  </si>
  <si>
    <t>Cygnus 1 Battery Charger</t>
  </si>
  <si>
    <t>UQ00062</t>
  </si>
  <si>
    <t>Cygnus 1 Main Body</t>
  </si>
  <si>
    <t>UQ00113</t>
  </si>
  <si>
    <t>UQ00126</t>
  </si>
  <si>
    <t>Airlift Bag 2 Ton ALB</t>
  </si>
  <si>
    <t>UQ00127</t>
  </si>
  <si>
    <t>UQ00128</t>
  </si>
  <si>
    <t>UQ00129</t>
  </si>
  <si>
    <t>UQ00130</t>
  </si>
  <si>
    <t>Airlift Bag 3 Ton  ALB</t>
  </si>
  <si>
    <t>UQ00131</t>
  </si>
  <si>
    <t>UQ00132</t>
  </si>
  <si>
    <t>UQ00133</t>
  </si>
  <si>
    <t>UQ00177</t>
  </si>
  <si>
    <t>Valve Lubrication Pump -ARO</t>
  </si>
  <si>
    <t>UQ00190</t>
  </si>
  <si>
    <t>Airlift Bag 5 Ton ALB</t>
  </si>
  <si>
    <t>UQ00413</t>
  </si>
  <si>
    <t>Water Load Bag WLB 55T</t>
  </si>
  <si>
    <t>UQ00414</t>
  </si>
  <si>
    <t xml:space="preserve"> Water Load Bag WLB 55T</t>
  </si>
  <si>
    <t>UQ00415</t>
  </si>
  <si>
    <t>Water Load Bag WLB 110T</t>
  </si>
  <si>
    <t>UQ00417</t>
  </si>
  <si>
    <t>UQ00418</t>
  </si>
  <si>
    <t>250 Tonne Telemetry Load Cell</t>
  </si>
  <si>
    <t>UQ00422</t>
  </si>
  <si>
    <t>UQ00423</t>
  </si>
  <si>
    <t>UQ00424</t>
  </si>
  <si>
    <t>UQ00425</t>
  </si>
  <si>
    <t>UQ00426</t>
  </si>
  <si>
    <t>UQ00427</t>
  </si>
  <si>
    <t>UQ00428</t>
  </si>
  <si>
    <t>UQ00429</t>
  </si>
  <si>
    <t>UQ00430</t>
  </si>
  <si>
    <t>UQ00431</t>
  </si>
  <si>
    <t>UQ00432</t>
  </si>
  <si>
    <t>UQ00433</t>
  </si>
  <si>
    <t>UQ00434</t>
  </si>
  <si>
    <t>UQ00435</t>
  </si>
  <si>
    <t>UQ00436</t>
  </si>
  <si>
    <t>UQ00437</t>
  </si>
  <si>
    <t>UQ00438</t>
  </si>
  <si>
    <t>UQ00439</t>
  </si>
  <si>
    <t>UQ00440</t>
  </si>
  <si>
    <t>UQ00441</t>
  </si>
  <si>
    <t>UQ00442</t>
  </si>
  <si>
    <t>Airlift Bag 10 Ton ALB</t>
  </si>
  <si>
    <t>UQ00443</t>
  </si>
  <si>
    <t>UQ00445</t>
  </si>
  <si>
    <t>Load Shackle Tensile 55T</t>
  </si>
  <si>
    <t>UQ00446</t>
  </si>
  <si>
    <t>Unique Hydraulic Spooling Machine 40T</t>
  </si>
  <si>
    <t>UQ00447</t>
  </si>
  <si>
    <t>Hydraulic Power Pack</t>
  </si>
  <si>
    <t>UQ00448</t>
  </si>
  <si>
    <t>Steel Reel for Spooling Machine 40t</t>
  </si>
  <si>
    <t>UQ00449</t>
  </si>
  <si>
    <t>UQ00450</t>
  </si>
  <si>
    <t>Load Cell 25Tonne Tensile (Telemetry)</t>
  </si>
  <si>
    <t>UQ00451</t>
  </si>
  <si>
    <t>Load Cell Tensile 100T</t>
  </si>
  <si>
    <t>UQ00452</t>
  </si>
  <si>
    <t>JCM 13.5T Telemetry Load Cell</t>
  </si>
  <si>
    <t>UQ00453</t>
  </si>
  <si>
    <t>UQ00454</t>
  </si>
  <si>
    <t>Water Weights WLB 110T Water Load Bag</t>
  </si>
  <si>
    <t>MV000001_TE</t>
  </si>
  <si>
    <t>NISSAN NAVARA Reg No-45237</t>
  </si>
  <si>
    <t>MV000001_UTE</t>
  </si>
  <si>
    <t>Mitsubishi Pajero Reg 583763</t>
  </si>
  <si>
    <t>MV</t>
  </si>
  <si>
    <t>MV000002_TE</t>
  </si>
  <si>
    <t>NISSAN NAVARA -Reg No 45234</t>
  </si>
  <si>
    <t>MV000003_TE</t>
  </si>
  <si>
    <t>NISSAN NAVARA -Reg No 45231</t>
  </si>
  <si>
    <t>GENERAL ASSET - Straight Edge 2.5 Meter</t>
  </si>
  <si>
    <t>GENERAL ASSET - Depth Micrometer</t>
  </si>
  <si>
    <t>GENERAL ASSET - Straight Edge 1 Meter</t>
  </si>
  <si>
    <t>GENERAL ASSET - Precision Level (Engineering Level)</t>
  </si>
  <si>
    <t>GENERAL ASSET - Counterbore Attachment</t>
  </si>
  <si>
    <t>S/N</t>
  </si>
  <si>
    <t>BELONGS TO UNIQUE GROUP</t>
  </si>
  <si>
    <t>UNIQUE GROUP AS PER D365</t>
  </si>
  <si>
    <t xml:space="preserve">UNIQUE GROUP AS PER </t>
  </si>
  <si>
    <t>BELONGS TO QATAR - IS IN UAE</t>
  </si>
  <si>
    <t>MISSING</t>
  </si>
  <si>
    <t>SEEN - 16 - 07</t>
  </si>
  <si>
    <t>SEEN</t>
  </si>
  <si>
    <t>SHELL</t>
  </si>
  <si>
    <t>QATAR ENERGY</t>
  </si>
  <si>
    <t>STORE ROOM, WARE HOUSE 2</t>
  </si>
  <si>
    <t>SEEN - 14 - 07</t>
  </si>
  <si>
    <t>WAREHOUSE 1</t>
  </si>
  <si>
    <t>WARE HOUSE 2</t>
  </si>
  <si>
    <t>QAPCO</t>
  </si>
  <si>
    <t>SEEN - 13 - 07</t>
  </si>
  <si>
    <t>SEEN - 15 - 07</t>
  </si>
  <si>
    <t>SEEN - 17 - 07</t>
  </si>
  <si>
    <t>FOR IP914 (12" - 36")  / IP406 MACHINE (3" - 16") - HOT TAP ADAPTORS</t>
  </si>
  <si>
    <t>EQUIPMENT</t>
  </si>
  <si>
    <t>SIZE</t>
  </si>
  <si>
    <t>QTY</t>
  </si>
  <si>
    <t>LOCATION</t>
  </si>
  <si>
    <t>VISUAL CONFIRMATION</t>
  </si>
  <si>
    <t>16" x 150#</t>
  </si>
  <si>
    <t>12" x 600#</t>
  </si>
  <si>
    <t>12" x 150#</t>
  </si>
  <si>
    <t>8"x 600#</t>
  </si>
  <si>
    <t>8" x 150#</t>
  </si>
  <si>
    <t>6" x 150#</t>
  </si>
  <si>
    <t>4" x 600#</t>
  </si>
  <si>
    <t>Hot Tapping Adaptor</t>
  </si>
  <si>
    <t>3" x 600#</t>
  </si>
  <si>
    <t>FOR IP 100 MACHINE HOT TAP ADAPTORS (0 - 6")</t>
  </si>
  <si>
    <t>6" x PN16</t>
  </si>
  <si>
    <t>6" x PN25</t>
  </si>
  <si>
    <t>4" x PN 16</t>
  </si>
  <si>
    <t>3" x PN16</t>
  </si>
  <si>
    <t>3" x 150#</t>
  </si>
  <si>
    <t>3" x 300#</t>
  </si>
  <si>
    <t>2.5" x PN 16</t>
  </si>
  <si>
    <t>2" X 600#</t>
  </si>
  <si>
    <t>1.5" X 300#</t>
  </si>
  <si>
    <t>1.5" X 150#</t>
  </si>
  <si>
    <t>1" X 150#</t>
  </si>
  <si>
    <t>3/4" X 300#</t>
  </si>
  <si>
    <t>3/4" X 150#</t>
  </si>
  <si>
    <t>LINE STOP ADAPTORS</t>
  </si>
  <si>
    <t>10" x 600#</t>
  </si>
  <si>
    <t>6" x 600#</t>
  </si>
  <si>
    <t>Line Stop Adaptors</t>
  </si>
  <si>
    <t>HOT TAP CUTTERS (IP914 / IP406)</t>
  </si>
  <si>
    <t>18"</t>
  </si>
  <si>
    <t>16"</t>
  </si>
  <si>
    <t>4"</t>
  </si>
  <si>
    <t>3"</t>
  </si>
  <si>
    <t>Hot Tap Cutter</t>
  </si>
  <si>
    <t>LINE STOP CUTTERS (IP914 / IP406)</t>
  </si>
  <si>
    <t>20"</t>
  </si>
  <si>
    <t>12"</t>
  </si>
  <si>
    <t>10"</t>
  </si>
  <si>
    <t>8"</t>
  </si>
  <si>
    <t>6"</t>
  </si>
  <si>
    <t>Line Stop Cutter</t>
  </si>
  <si>
    <t>LINE STOP HEAD (PLUG HEAD)</t>
  </si>
  <si>
    <t>24"</t>
  </si>
  <si>
    <t>Line Stop Head (Plug Head)</t>
  </si>
  <si>
    <t>CROSSOVER SPOOLS</t>
  </si>
  <si>
    <t>24" x 24" x PN16</t>
  </si>
  <si>
    <t>20" x 16" x PN16</t>
  </si>
  <si>
    <t>14" x 14" x PN16</t>
  </si>
  <si>
    <t>16" x 150# x 16" x PN16</t>
  </si>
  <si>
    <t>12" x 150# x 12" x PN16</t>
  </si>
  <si>
    <t>10" x 10" x PN16</t>
  </si>
  <si>
    <t>10" x 8" x PN16</t>
  </si>
  <si>
    <t>8" x 8" x PN 16</t>
  </si>
  <si>
    <t>6" x 4" x 600#</t>
  </si>
  <si>
    <t>Crossover Spool</t>
  </si>
  <si>
    <t>BLIND FLANGE</t>
  </si>
  <si>
    <t>24" x 150#</t>
  </si>
  <si>
    <t>20" x PN 16</t>
  </si>
  <si>
    <t>20" x 600#</t>
  </si>
  <si>
    <t>20" x 150#</t>
  </si>
  <si>
    <t>10" x 150#</t>
  </si>
  <si>
    <t>8" x PN16</t>
  </si>
  <si>
    <t>8" x 600#</t>
  </si>
  <si>
    <t>6" PN 25</t>
  </si>
  <si>
    <t>6" x PN 16</t>
  </si>
  <si>
    <t>DN 100 (4") x  PN 16</t>
  </si>
  <si>
    <t>4" x 150#</t>
  </si>
  <si>
    <t>4" x 300#</t>
  </si>
  <si>
    <t>2" x 300#</t>
  </si>
  <si>
    <t>2" x 150#</t>
  </si>
  <si>
    <t>Blind Flange</t>
  </si>
  <si>
    <t>PIPE FREEZE JACKET</t>
  </si>
  <si>
    <t>2.5"</t>
  </si>
  <si>
    <t>14"</t>
  </si>
  <si>
    <t>Pipe Freeze Jacket</t>
  </si>
  <si>
    <t>DRILLING MACHINE</t>
  </si>
  <si>
    <t>EURO BOOR MACHINE - PNEUMATIC MAGNETIC DRILL MACHINE - 25MM</t>
  </si>
  <si>
    <t>DRILL MACHINE - 4"</t>
  </si>
  <si>
    <t>25MM</t>
  </si>
  <si>
    <t>ASSESTS PRESENT IN QATAR NOT HAVING UQ CODE &amp; NOT MENTIONED ABOVE</t>
  </si>
  <si>
    <t>Confirmed, in UAE and transferred to EMEC</t>
  </si>
  <si>
    <t xml:space="preserve">Wellube to advise </t>
  </si>
  <si>
    <t>Net Balance (QAR)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</si>
</sst>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809]dd/mm/yyyy"/>
    <numFmt numFmtId="165" formatCode="[$-10809]#,##0.00;\-#,##0.00;0.00"/>
    <numFmt numFmtId="166" formatCode="[$-10809]#,##0.00"/>
  </numFmts>
  <fonts count="16" x14ac:knownFonts="1">
    <font>
      <sz val="11"/>
      <color theme="1"/>
      <name val="Aptos Narrow"/>
      <family val="2"/>
      <scheme val="minor"/>
    </font>
    <font>
      <sz val="18"/>
      <color rgb="FF000000"/>
      <name val="Segoe U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10"/>
      <color rgb="FF000000"/>
      <name val="Segoe UI"/>
      <family val="2"/>
    </font>
    <font>
      <b/>
      <sz val="8"/>
      <color rgb="FF000000"/>
      <name val="Segoe UI"/>
      <family val="2"/>
    </font>
    <font>
      <b/>
      <sz val="11"/>
      <name val="Calibri"/>
      <family val="2"/>
    </font>
    <font>
      <sz val="8"/>
      <color rgb="FF000000"/>
      <name val="Segoe UI"/>
      <family val="2"/>
    </font>
    <font>
      <sz val="8"/>
      <color rgb="FFFF0000"/>
      <name val="Segoe UI"/>
      <family val="2"/>
    </font>
    <font>
      <sz val="11"/>
      <color rgb="FFFF0000"/>
      <name val="Calibr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3" fillId="0" borderId="0" xfId="1" applyFont="1"/>
    <xf numFmtId="0" fontId="5" fillId="0" borderId="7" xfId="1" applyFont="1" applyBorder="1" applyAlignment="1">
      <alignment vertical="top" readingOrder="1"/>
    </xf>
    <xf numFmtId="0" fontId="6" fillId="0" borderId="7" xfId="1" applyFont="1" applyBorder="1"/>
    <xf numFmtId="0" fontId="7" fillId="0" borderId="7" xfId="1" applyFont="1" applyBorder="1" applyAlignment="1">
      <alignment horizontal="left" vertical="top" readingOrder="1"/>
    </xf>
    <xf numFmtId="0" fontId="7" fillId="0" borderId="7" xfId="1" applyFont="1" applyBorder="1" applyAlignment="1">
      <alignment vertical="top" readingOrder="1"/>
    </xf>
    <xf numFmtId="164" fontId="5" fillId="0" borderId="7" xfId="1" applyNumberFormat="1" applyFont="1" applyBorder="1" applyAlignment="1">
      <alignment horizontal="left" vertical="top" readingOrder="1"/>
    </xf>
    <xf numFmtId="165" fontId="5" fillId="0" borderId="7" xfId="1" applyNumberFormat="1" applyFont="1" applyBorder="1" applyAlignment="1">
      <alignment horizontal="right" vertical="top" readingOrder="1"/>
    </xf>
    <xf numFmtId="165" fontId="7" fillId="0" borderId="7" xfId="1" applyNumberFormat="1" applyFont="1" applyBorder="1" applyAlignment="1">
      <alignment horizontal="right" vertical="top" readingOrder="1"/>
    </xf>
    <xf numFmtId="0" fontId="3" fillId="0" borderId="7" xfId="1" applyFont="1" applyBorder="1"/>
    <xf numFmtId="164" fontId="7" fillId="0" borderId="7" xfId="1" applyNumberFormat="1" applyFont="1" applyBorder="1" applyAlignment="1">
      <alignment horizontal="left" vertical="top" readingOrder="1"/>
    </xf>
    <xf numFmtId="166" fontId="5" fillId="0" borderId="7" xfId="1" applyNumberFormat="1" applyFont="1" applyBorder="1" applyAlignment="1">
      <alignment vertical="top" readingOrder="1"/>
    </xf>
    <xf numFmtId="0" fontId="6" fillId="0" borderId="0" xfId="1" applyFont="1"/>
    <xf numFmtId="0" fontId="5" fillId="0" borderId="8" xfId="1" applyFont="1" applyBorder="1" applyAlignment="1">
      <alignment vertical="top" readingOrder="1"/>
    </xf>
    <xf numFmtId="0" fontId="5" fillId="0" borderId="7" xfId="0" applyFont="1" applyBorder="1" applyAlignment="1">
      <alignment vertical="top" readingOrder="1"/>
    </xf>
    <xf numFmtId="0" fontId="7" fillId="0" borderId="7" xfId="0" applyFont="1" applyBorder="1" applyAlignment="1">
      <alignment horizontal="left" vertical="top" readingOrder="1"/>
    </xf>
    <xf numFmtId="0" fontId="7" fillId="0" borderId="7" xfId="0" applyFont="1" applyBorder="1" applyAlignment="1">
      <alignment vertical="top" readingOrder="1"/>
    </xf>
    <xf numFmtId="164" fontId="7" fillId="0" borderId="7" xfId="0" applyNumberFormat="1" applyFont="1" applyBorder="1" applyAlignment="1">
      <alignment horizontal="left" vertical="top" readingOrder="1"/>
    </xf>
    <xf numFmtId="165" fontId="7" fillId="0" borderId="7" xfId="0" applyNumberFormat="1" applyFont="1" applyBorder="1" applyAlignment="1">
      <alignment vertical="top" readingOrder="1"/>
    </xf>
    <xf numFmtId="165" fontId="7" fillId="0" borderId="7" xfId="0" applyNumberFormat="1" applyFont="1" applyBorder="1" applyAlignment="1">
      <alignment horizontal="right" vertical="top" readingOrder="1"/>
    </xf>
    <xf numFmtId="0" fontId="8" fillId="0" borderId="7" xfId="1" applyFont="1" applyBorder="1" applyAlignment="1">
      <alignment horizontal="left" vertical="top" readingOrder="1"/>
    </xf>
    <xf numFmtId="0" fontId="8" fillId="0" borderId="7" xfId="1" applyFont="1" applyBorder="1" applyAlignment="1">
      <alignment vertical="top" readingOrder="1"/>
    </xf>
    <xf numFmtId="164" fontId="8" fillId="0" borderId="7" xfId="1" applyNumberFormat="1" applyFont="1" applyBorder="1" applyAlignment="1">
      <alignment horizontal="left" vertical="top" readingOrder="1"/>
    </xf>
    <xf numFmtId="165" fontId="8" fillId="0" borderId="7" xfId="1" applyNumberFormat="1" applyFont="1" applyBorder="1" applyAlignment="1">
      <alignment horizontal="right" vertical="top" readingOrder="1"/>
    </xf>
    <xf numFmtId="0" fontId="9" fillId="0" borderId="7" xfId="1" applyFont="1" applyBorder="1"/>
    <xf numFmtId="0" fontId="9" fillId="0" borderId="0" xfId="1" applyFont="1"/>
    <xf numFmtId="0" fontId="10" fillId="0" borderId="7" xfId="1" applyFont="1" applyBorder="1" applyAlignment="1">
      <alignment horizontal="left" vertical="top" readingOrder="1"/>
    </xf>
    <xf numFmtId="0" fontId="10" fillId="0" borderId="7" xfId="1" applyFont="1" applyBorder="1" applyAlignment="1">
      <alignment vertical="top" readingOrder="1"/>
    </xf>
    <xf numFmtId="164" fontId="10" fillId="0" borderId="7" xfId="1" applyNumberFormat="1" applyFont="1" applyBorder="1" applyAlignment="1">
      <alignment horizontal="left" vertical="top" readingOrder="1"/>
    </xf>
    <xf numFmtId="165" fontId="10" fillId="0" borderId="7" xfId="1" applyNumberFormat="1" applyFont="1" applyBorder="1" applyAlignment="1">
      <alignment horizontal="right" vertical="top" readingOrder="1"/>
    </xf>
    <xf numFmtId="0" fontId="11" fillId="0" borderId="7" xfId="1" applyFont="1" applyBorder="1" applyAlignment="1">
      <alignment horizontal="left" vertical="top" readingOrder="1"/>
    </xf>
    <xf numFmtId="0" fontId="11" fillId="0" borderId="7" xfId="1" applyFont="1" applyBorder="1" applyAlignment="1">
      <alignment vertical="top" readingOrder="1"/>
    </xf>
    <xf numFmtId="164" fontId="11" fillId="0" borderId="7" xfId="1" applyNumberFormat="1" applyFont="1" applyBorder="1" applyAlignment="1">
      <alignment horizontal="left" vertical="top" readingOrder="1"/>
    </xf>
    <xf numFmtId="165" fontId="11" fillId="0" borderId="7" xfId="1" applyNumberFormat="1" applyFont="1" applyBorder="1" applyAlignment="1">
      <alignment horizontal="right" vertical="top" readingOrder="1"/>
    </xf>
    <xf numFmtId="0" fontId="12" fillId="0" borderId="7" xfId="1" applyFont="1" applyBorder="1"/>
    <xf numFmtId="0" fontId="12" fillId="0" borderId="0" xfId="1" applyFont="1"/>
    <xf numFmtId="0" fontId="10" fillId="2" borderId="7" xfId="1" applyFont="1" applyFill="1" applyBorder="1" applyAlignment="1">
      <alignment horizontal="left" vertical="top" readingOrder="1"/>
    </xf>
    <xf numFmtId="0" fontId="10" fillId="2" borderId="7" xfId="1" applyFont="1" applyFill="1" applyBorder="1" applyAlignment="1">
      <alignment vertical="top" readingOrder="1"/>
    </xf>
    <xf numFmtId="164" fontId="10" fillId="2" borderId="7" xfId="1" applyNumberFormat="1" applyFont="1" applyFill="1" applyBorder="1" applyAlignment="1">
      <alignment horizontal="left" vertical="top" readingOrder="1"/>
    </xf>
    <xf numFmtId="165" fontId="10" fillId="2" borderId="7" xfId="1" applyNumberFormat="1" applyFont="1" applyFill="1" applyBorder="1" applyAlignment="1">
      <alignment horizontal="right" vertical="top" readingOrder="1"/>
    </xf>
    <xf numFmtId="0" fontId="3" fillId="2" borderId="7" xfId="1" applyFont="1" applyFill="1" applyBorder="1"/>
    <xf numFmtId="0" fontId="3" fillId="2" borderId="0" xfId="1" applyFont="1" applyFill="1"/>
    <xf numFmtId="0" fontId="13" fillId="0" borderId="7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1" applyFont="1" applyBorder="1" applyAlignment="1">
      <alignment horizontal="center"/>
    </xf>
    <xf numFmtId="0" fontId="5" fillId="0" borderId="7" xfId="1" applyFont="1" applyBorder="1" applyAlignment="1">
      <alignment horizontal="center" vertical="center" readingOrder="1"/>
    </xf>
    <xf numFmtId="0" fontId="10" fillId="0" borderId="7" xfId="1" applyFont="1" applyBorder="1" applyAlignment="1">
      <alignment horizontal="center" vertical="center" readingOrder="1"/>
    </xf>
    <xf numFmtId="0" fontId="10" fillId="2" borderId="7" xfId="1" applyFont="1" applyFill="1" applyBorder="1" applyAlignment="1">
      <alignment horizontal="center" vertical="center" readingOrder="1"/>
    </xf>
    <xf numFmtId="0" fontId="11" fillId="0" borderId="7" xfId="1" applyFont="1" applyBorder="1" applyAlignment="1">
      <alignment horizontal="center" vertical="center" readingOrder="1"/>
    </xf>
    <xf numFmtId="0" fontId="8" fillId="0" borderId="7" xfId="1" applyFont="1" applyBorder="1" applyAlignment="1">
      <alignment horizontal="center" vertical="center" readingOrder="1"/>
    </xf>
    <xf numFmtId="1" fontId="3" fillId="0" borderId="7" xfId="1" applyNumberFormat="1" applyFont="1" applyBorder="1" applyAlignment="1">
      <alignment horizontal="center" vertical="center"/>
    </xf>
    <xf numFmtId="0" fontId="0" fillId="0" borderId="7" xfId="0" applyBorder="1"/>
    <xf numFmtId="0" fontId="3" fillId="3" borderId="0" xfId="1" applyFont="1" applyFill="1"/>
    <xf numFmtId="0" fontId="3" fillId="3" borderId="7" xfId="1" applyFont="1" applyFill="1" applyBorder="1"/>
    <xf numFmtId="0" fontId="3" fillId="4" borderId="0" xfId="1" applyFont="1" applyFill="1"/>
    <xf numFmtId="0" fontId="3" fillId="4" borderId="7" xfId="1" applyFont="1" applyFill="1" applyBorder="1"/>
    <xf numFmtId="0" fontId="13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0" fontId="3" fillId="3" borderId="7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1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top" readingOrder="1"/>
    </xf>
    <xf numFmtId="0" fontId="1" fillId="0" borderId="3" xfId="0" applyFont="1" applyBorder="1" applyAlignment="1">
      <alignment horizontal="center" vertical="top" readingOrder="1"/>
    </xf>
    <xf numFmtId="0" fontId="4" fillId="0" borderId="4" xfId="0" applyFont="1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top" readingOrder="1"/>
    </xf>
    <xf numFmtId="0" fontId="4" fillId="0" borderId="0" xfId="0" applyFont="1" applyAlignment="1">
      <alignment horizontal="center" vertical="top" readingOrder="1"/>
    </xf>
    <xf numFmtId="0" fontId="4" fillId="0" borderId="6" xfId="0" applyFont="1" applyBorder="1" applyAlignment="1">
      <alignment horizontal="center" vertical="top" readingOrder="1"/>
    </xf>
    <xf numFmtId="0" fontId="6" fillId="0" borderId="9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3" fillId="4" borderId="7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3" borderId="14" xfId="1" applyFont="1" applyFill="1" applyBorder="1" applyAlignment="1">
      <alignment horizontal="center"/>
    </xf>
    <xf numFmtId="0" fontId="10" fillId="5" borderId="7" xfId="1" applyFont="1" applyFill="1" applyBorder="1" applyAlignment="1">
      <alignment horizontal="center" vertical="center" readingOrder="1"/>
    </xf>
    <xf numFmtId="0" fontId="10" fillId="5" borderId="7" xfId="1" applyFont="1" applyFill="1" applyBorder="1" applyAlignment="1">
      <alignment horizontal="left" vertical="top" readingOrder="1"/>
    </xf>
    <xf numFmtId="0" fontId="10" fillId="5" borderId="7" xfId="1" applyFont="1" applyFill="1" applyBorder="1" applyAlignment="1">
      <alignment vertical="top" readingOrder="1"/>
    </xf>
    <xf numFmtId="164" fontId="10" fillId="5" borderId="7" xfId="1" applyNumberFormat="1" applyFont="1" applyFill="1" applyBorder="1" applyAlignment="1">
      <alignment horizontal="left" vertical="top" readingOrder="1"/>
    </xf>
    <xf numFmtId="165" fontId="10" fillId="5" borderId="7" xfId="1" applyNumberFormat="1" applyFont="1" applyFill="1" applyBorder="1" applyAlignment="1">
      <alignment horizontal="right" vertical="top" readingOrder="1"/>
    </xf>
    <xf numFmtId="0" fontId="3" fillId="5" borderId="7" xfId="1" applyFont="1" applyFill="1" applyBorder="1"/>
    <xf numFmtId="0" fontId="3" fillId="5" borderId="0" xfId="1" applyFont="1" applyFill="1"/>
  </cellXfs>
  <cellStyles count="2">
    <cellStyle name="Normal" xfId="0" builtinId="0"/>
    <cellStyle name="Normal 2" xfId="1" xr:uid="{103C43D2-2B27-4EBC-884B-7AC2DF5027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F2B1-4B9D-480A-99BA-BE85F7BC4FD6}">
  <sheetPr filterMode="1"/>
  <dimension ref="A1:AE508"/>
  <sheetViews>
    <sheetView tabSelected="1" topLeftCell="M1" zoomScale="90" zoomScaleNormal="90" workbookViewId="0">
      <selection activeCell="N447" sqref="N447"/>
    </sheetView>
  </sheetViews>
  <sheetFormatPr defaultColWidth="9.140625" defaultRowHeight="15" x14ac:dyDescent="0.25"/>
  <cols>
    <col min="1" max="1" width="17" style="43" customWidth="1"/>
    <col min="2" max="2" width="38.5703125" style="1" customWidth="1"/>
    <col min="3" max="3" width="31.85546875" style="1" bestFit="1" customWidth="1"/>
    <col min="4" max="4" width="29" style="1" customWidth="1"/>
    <col min="5" max="5" width="13.42578125" style="1" hidden="1" customWidth="1"/>
    <col min="6" max="6" width="12.7109375" style="1" hidden="1" customWidth="1"/>
    <col min="7" max="7" width="18.28515625" style="1" hidden="1" customWidth="1"/>
    <col min="8" max="8" width="9.85546875" style="1" hidden="1" customWidth="1"/>
    <col min="9" max="9" width="12.7109375" style="1" hidden="1" customWidth="1"/>
    <col min="10" max="10" width="18.28515625" style="1" hidden="1" customWidth="1"/>
    <col min="11" max="11" width="9.85546875" style="1" hidden="1" customWidth="1"/>
    <col min="12" max="12" width="10.140625" style="1" hidden="1" customWidth="1"/>
    <col min="13" max="13" width="13.7109375" style="1" customWidth="1"/>
    <col min="14" max="14" width="27.7109375" style="1" customWidth="1"/>
    <col min="15" max="15" width="27.5703125" style="1" customWidth="1"/>
    <col min="16" max="16" width="9.140625" style="1" customWidth="1"/>
    <col min="17" max="16384" width="9.140625" style="1"/>
  </cols>
  <sheetData>
    <row r="1" spans="1:16" ht="26.25" x14ac:dyDescent="0.25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3"/>
    </row>
    <row r="2" spans="1:16" ht="15.75" thickBot="1" x14ac:dyDescent="0.3">
      <c r="A2" s="74" t="s">
        <v>1</v>
      </c>
      <c r="B2" s="75"/>
      <c r="C2" s="75"/>
      <c r="D2" s="75"/>
      <c r="E2" s="75"/>
      <c r="F2" s="76"/>
      <c r="G2" s="76"/>
      <c r="H2" s="76"/>
      <c r="I2" s="76"/>
      <c r="J2" s="76"/>
      <c r="K2" s="76"/>
      <c r="L2" s="77"/>
    </row>
    <row r="3" spans="1:16" ht="15.75" thickBot="1" x14ac:dyDescent="0.3">
      <c r="F3" s="78" t="s">
        <v>2</v>
      </c>
      <c r="G3" s="79"/>
      <c r="H3" s="80"/>
      <c r="I3" s="78" t="s">
        <v>3</v>
      </c>
      <c r="J3" s="79"/>
      <c r="K3" s="80"/>
    </row>
    <row r="4" spans="1:16" x14ac:dyDescent="0.25">
      <c r="A4" s="49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13" t="s">
        <v>9</v>
      </c>
      <c r="G4" s="13" t="s">
        <v>10</v>
      </c>
      <c r="H4" s="13" t="s">
        <v>11</v>
      </c>
      <c r="I4" s="13" t="s">
        <v>9</v>
      </c>
      <c r="J4" s="13" t="s">
        <v>10</v>
      </c>
      <c r="K4" s="13" t="s">
        <v>11</v>
      </c>
      <c r="L4" s="3" t="s">
        <v>12</v>
      </c>
      <c r="M4" s="12" t="s">
        <v>13</v>
      </c>
      <c r="N4" s="1" t="s">
        <v>812</v>
      </c>
      <c r="O4" s="1" t="s">
        <v>811</v>
      </c>
      <c r="P4" s="13" t="s">
        <v>894</v>
      </c>
    </row>
    <row r="5" spans="1:16" hidden="1" x14ac:dyDescent="0.25">
      <c r="A5" s="4" t="s">
        <v>14</v>
      </c>
      <c r="B5" s="4" t="s">
        <v>15</v>
      </c>
      <c r="C5" s="4" t="s">
        <v>15</v>
      </c>
      <c r="D5" s="5" t="s">
        <v>15</v>
      </c>
      <c r="E5" s="6">
        <v>42948</v>
      </c>
      <c r="F5" s="7">
        <v>4250</v>
      </c>
      <c r="G5" s="7">
        <v>-4249</v>
      </c>
      <c r="H5" s="7">
        <v>1</v>
      </c>
      <c r="I5" s="7">
        <f>F5/3.636139</f>
        <v>1168.8222039916516</v>
      </c>
      <c r="J5" s="7">
        <f>G5/3.636139</f>
        <v>-1168.5471870024771</v>
      </c>
      <c r="K5" s="8">
        <f t="shared" ref="K5:K69" si="0">H5/3.636139</f>
        <v>0.27501698917450623</v>
      </c>
      <c r="L5" s="9" t="s">
        <v>12</v>
      </c>
      <c r="M5" s="1" t="s">
        <v>16</v>
      </c>
    </row>
    <row r="6" spans="1:16" hidden="1" x14ac:dyDescent="0.25">
      <c r="A6" s="4" t="s">
        <v>17</v>
      </c>
      <c r="B6" s="4" t="s">
        <v>18</v>
      </c>
      <c r="C6" s="4" t="s">
        <v>18</v>
      </c>
      <c r="D6" s="5" t="s">
        <v>18</v>
      </c>
      <c r="E6" s="10">
        <v>43398</v>
      </c>
      <c r="F6" s="8">
        <v>4125</v>
      </c>
      <c r="G6" s="8">
        <v>-4124</v>
      </c>
      <c r="H6" s="8">
        <v>1</v>
      </c>
      <c r="I6" s="8">
        <f t="shared" ref="I6:J69" si="1">F6/3.636139</f>
        <v>1134.4450803448383</v>
      </c>
      <c r="J6" s="8">
        <f t="shared" si="1"/>
        <v>-1134.1700633556638</v>
      </c>
      <c r="K6" s="8">
        <f t="shared" si="0"/>
        <v>0.27501698917450623</v>
      </c>
      <c r="L6" s="9" t="s">
        <v>12</v>
      </c>
      <c r="M6" s="1" t="s">
        <v>16</v>
      </c>
    </row>
    <row r="7" spans="1:16" hidden="1" x14ac:dyDescent="0.25">
      <c r="A7" s="4" t="s">
        <v>19</v>
      </c>
      <c r="B7" s="4" t="s">
        <v>20</v>
      </c>
      <c r="C7" s="4" t="s">
        <v>20</v>
      </c>
      <c r="D7" s="5" t="s">
        <v>20</v>
      </c>
      <c r="E7" s="10">
        <v>43387</v>
      </c>
      <c r="F7" s="8">
        <v>4789</v>
      </c>
      <c r="G7" s="8">
        <v>-4788</v>
      </c>
      <c r="H7" s="8">
        <v>1</v>
      </c>
      <c r="I7" s="8">
        <f t="shared" si="1"/>
        <v>1317.0563611567104</v>
      </c>
      <c r="J7" s="8">
        <f t="shared" si="1"/>
        <v>-1316.781344167536</v>
      </c>
      <c r="K7" s="8">
        <f t="shared" si="0"/>
        <v>0.27501698917450623</v>
      </c>
      <c r="L7" s="9" t="s">
        <v>12</v>
      </c>
      <c r="M7" s="1" t="s">
        <v>16</v>
      </c>
    </row>
    <row r="8" spans="1:16" hidden="1" x14ac:dyDescent="0.25">
      <c r="A8" s="4" t="s">
        <v>21</v>
      </c>
      <c r="B8" s="4" t="s">
        <v>20</v>
      </c>
      <c r="C8" s="4" t="s">
        <v>20</v>
      </c>
      <c r="D8" s="5" t="s">
        <v>20</v>
      </c>
      <c r="E8" s="10">
        <v>43387</v>
      </c>
      <c r="F8" s="8">
        <v>2629</v>
      </c>
      <c r="G8" s="8">
        <v>-2628</v>
      </c>
      <c r="H8" s="8">
        <v>1</v>
      </c>
      <c r="I8" s="8">
        <f t="shared" si="1"/>
        <v>723.01966453977695</v>
      </c>
      <c r="J8" s="8">
        <f t="shared" si="1"/>
        <v>-722.74464755060239</v>
      </c>
      <c r="K8" s="8">
        <f t="shared" si="0"/>
        <v>0.27501698917450623</v>
      </c>
      <c r="L8" s="9" t="s">
        <v>12</v>
      </c>
      <c r="M8" s="1" t="s">
        <v>16</v>
      </c>
    </row>
    <row r="9" spans="1:16" hidden="1" x14ac:dyDescent="0.25">
      <c r="A9" s="4" t="s">
        <v>22</v>
      </c>
      <c r="B9" s="4" t="s">
        <v>20</v>
      </c>
      <c r="C9" s="4" t="s">
        <v>20</v>
      </c>
      <c r="D9" s="5" t="s">
        <v>20</v>
      </c>
      <c r="E9" s="10">
        <v>43387</v>
      </c>
      <c r="F9" s="8">
        <v>2629</v>
      </c>
      <c r="G9" s="8">
        <v>-2628</v>
      </c>
      <c r="H9" s="8">
        <v>1</v>
      </c>
      <c r="I9" s="8">
        <f t="shared" si="1"/>
        <v>723.01966453977695</v>
      </c>
      <c r="J9" s="8">
        <f t="shared" si="1"/>
        <v>-722.74464755060239</v>
      </c>
      <c r="K9" s="8">
        <f t="shared" si="0"/>
        <v>0.27501698917450623</v>
      </c>
      <c r="L9" s="9" t="s">
        <v>12</v>
      </c>
      <c r="M9" s="1" t="s">
        <v>16</v>
      </c>
    </row>
    <row r="10" spans="1:16" hidden="1" x14ac:dyDescent="0.25">
      <c r="A10" s="4" t="s">
        <v>23</v>
      </c>
      <c r="B10" s="4" t="s">
        <v>20</v>
      </c>
      <c r="C10" s="4" t="s">
        <v>20</v>
      </c>
      <c r="D10" s="5" t="s">
        <v>20</v>
      </c>
      <c r="E10" s="10">
        <v>43387</v>
      </c>
      <c r="F10" s="8">
        <v>2629</v>
      </c>
      <c r="G10" s="8">
        <v>-2628</v>
      </c>
      <c r="H10" s="8">
        <v>1</v>
      </c>
      <c r="I10" s="8">
        <f t="shared" si="1"/>
        <v>723.01966453977695</v>
      </c>
      <c r="J10" s="8">
        <f t="shared" si="1"/>
        <v>-722.74464755060239</v>
      </c>
      <c r="K10" s="8">
        <f t="shared" si="0"/>
        <v>0.27501698917450623</v>
      </c>
      <c r="L10" s="9" t="s">
        <v>12</v>
      </c>
      <c r="M10" s="1" t="s">
        <v>16</v>
      </c>
    </row>
    <row r="11" spans="1:16" hidden="1" x14ac:dyDescent="0.25">
      <c r="A11" s="4" t="s">
        <v>24</v>
      </c>
      <c r="B11" s="4" t="s">
        <v>25</v>
      </c>
      <c r="C11" s="4" t="s">
        <v>25</v>
      </c>
      <c r="D11" s="5" t="s">
        <v>25</v>
      </c>
      <c r="E11" s="10">
        <v>43395</v>
      </c>
      <c r="F11" s="8">
        <v>5235</v>
      </c>
      <c r="G11" s="8">
        <v>-5234</v>
      </c>
      <c r="H11" s="8">
        <v>1</v>
      </c>
      <c r="I11" s="8">
        <f t="shared" si="1"/>
        <v>1439.7139383285403</v>
      </c>
      <c r="J11" s="8">
        <f t="shared" si="1"/>
        <v>-1439.4389213393658</v>
      </c>
      <c r="K11" s="8">
        <f t="shared" si="0"/>
        <v>0.27501698917450623</v>
      </c>
      <c r="L11" s="9" t="s">
        <v>12</v>
      </c>
      <c r="M11" s="1" t="s">
        <v>16</v>
      </c>
    </row>
    <row r="12" spans="1:16" hidden="1" x14ac:dyDescent="0.25">
      <c r="A12" s="4" t="s">
        <v>26</v>
      </c>
      <c r="B12" s="4" t="s">
        <v>27</v>
      </c>
      <c r="C12" s="4" t="s">
        <v>27</v>
      </c>
      <c r="D12" s="5" t="s">
        <v>27</v>
      </c>
      <c r="E12" s="10">
        <v>43405</v>
      </c>
      <c r="F12" s="8">
        <v>4125</v>
      </c>
      <c r="G12" s="8">
        <v>-4124</v>
      </c>
      <c r="H12" s="8">
        <v>1</v>
      </c>
      <c r="I12" s="8">
        <f t="shared" si="1"/>
        <v>1134.4450803448383</v>
      </c>
      <c r="J12" s="8">
        <f t="shared" si="1"/>
        <v>-1134.1700633556638</v>
      </c>
      <c r="K12" s="8">
        <f t="shared" si="0"/>
        <v>0.27501698917450623</v>
      </c>
      <c r="L12" s="9" t="s">
        <v>12</v>
      </c>
      <c r="M12" s="1" t="s">
        <v>16</v>
      </c>
    </row>
    <row r="13" spans="1:16" hidden="1" x14ac:dyDescent="0.25">
      <c r="A13" s="4" t="s">
        <v>28</v>
      </c>
      <c r="B13" s="4" t="s">
        <v>29</v>
      </c>
      <c r="C13" s="4" t="s">
        <v>29</v>
      </c>
      <c r="D13" s="5" t="s">
        <v>29</v>
      </c>
      <c r="E13" s="10">
        <v>43405</v>
      </c>
      <c r="F13" s="8">
        <v>3655</v>
      </c>
      <c r="G13" s="8">
        <v>-3654</v>
      </c>
      <c r="H13" s="8">
        <v>1</v>
      </c>
      <c r="I13" s="8">
        <f t="shared" si="1"/>
        <v>1005.1870954328203</v>
      </c>
      <c r="J13" s="8">
        <f t="shared" si="1"/>
        <v>-1004.9120784436459</v>
      </c>
      <c r="K13" s="8">
        <f t="shared" si="0"/>
        <v>0.27501698917450623</v>
      </c>
      <c r="L13" s="9" t="s">
        <v>12</v>
      </c>
      <c r="M13" s="1" t="s">
        <v>16</v>
      </c>
    </row>
    <row r="14" spans="1:16" hidden="1" x14ac:dyDescent="0.25">
      <c r="A14" s="4" t="s">
        <v>30</v>
      </c>
      <c r="B14" s="4" t="s">
        <v>31</v>
      </c>
      <c r="C14" s="4" t="s">
        <v>31</v>
      </c>
      <c r="D14" s="5" t="s">
        <v>31</v>
      </c>
      <c r="E14" s="10">
        <v>43424</v>
      </c>
      <c r="F14" s="8">
        <v>15000</v>
      </c>
      <c r="G14" s="8">
        <v>-14999</v>
      </c>
      <c r="H14" s="8">
        <v>1</v>
      </c>
      <c r="I14" s="8">
        <f t="shared" si="1"/>
        <v>4125.2548376175937</v>
      </c>
      <c r="J14" s="8">
        <f t="shared" si="1"/>
        <v>-4124.9798206284195</v>
      </c>
      <c r="K14" s="8">
        <f t="shared" si="0"/>
        <v>0.27501698917450623</v>
      </c>
      <c r="L14" s="9" t="s">
        <v>12</v>
      </c>
      <c r="M14" s="1" t="s">
        <v>16</v>
      </c>
    </row>
    <row r="15" spans="1:16" hidden="1" x14ac:dyDescent="0.25">
      <c r="A15" s="4" t="s">
        <v>32</v>
      </c>
      <c r="B15" s="4" t="s">
        <v>33</v>
      </c>
      <c r="C15" s="4" t="s">
        <v>33</v>
      </c>
      <c r="D15" s="5" t="s">
        <v>33</v>
      </c>
      <c r="E15" s="10">
        <v>43435</v>
      </c>
      <c r="F15" s="8">
        <v>4125</v>
      </c>
      <c r="G15" s="8">
        <v>-4124</v>
      </c>
      <c r="H15" s="8">
        <v>1</v>
      </c>
      <c r="I15" s="8">
        <f t="shared" si="1"/>
        <v>1134.4450803448383</v>
      </c>
      <c r="J15" s="8">
        <f t="shared" si="1"/>
        <v>-1134.1700633556638</v>
      </c>
      <c r="K15" s="8">
        <f t="shared" si="0"/>
        <v>0.27501698917450623</v>
      </c>
      <c r="L15" s="9" t="s">
        <v>12</v>
      </c>
      <c r="M15" s="1" t="s">
        <v>16</v>
      </c>
    </row>
    <row r="16" spans="1:16" hidden="1" x14ac:dyDescent="0.25">
      <c r="A16" s="4" t="s">
        <v>34</v>
      </c>
      <c r="B16" s="4" t="s">
        <v>33</v>
      </c>
      <c r="C16" s="4" t="s">
        <v>33</v>
      </c>
      <c r="D16" s="5" t="s">
        <v>33</v>
      </c>
      <c r="E16" s="10">
        <v>43435</v>
      </c>
      <c r="F16" s="8">
        <v>4125</v>
      </c>
      <c r="G16" s="8">
        <v>-4124</v>
      </c>
      <c r="H16" s="8">
        <v>1</v>
      </c>
      <c r="I16" s="8">
        <f t="shared" si="1"/>
        <v>1134.4450803448383</v>
      </c>
      <c r="J16" s="8">
        <f t="shared" si="1"/>
        <v>-1134.1700633556638</v>
      </c>
      <c r="K16" s="8">
        <f t="shared" si="0"/>
        <v>0.27501698917450623</v>
      </c>
      <c r="L16" s="9" t="s">
        <v>12</v>
      </c>
      <c r="M16" s="1" t="s">
        <v>16</v>
      </c>
    </row>
    <row r="17" spans="1:16" hidden="1" x14ac:dyDescent="0.25">
      <c r="A17" s="4" t="s">
        <v>35</v>
      </c>
      <c r="B17" s="4" t="s">
        <v>33</v>
      </c>
      <c r="C17" s="4" t="s">
        <v>33</v>
      </c>
      <c r="D17" s="5" t="s">
        <v>33</v>
      </c>
      <c r="E17" s="10">
        <v>43435</v>
      </c>
      <c r="F17" s="8">
        <v>4125</v>
      </c>
      <c r="G17" s="8">
        <v>-4124</v>
      </c>
      <c r="H17" s="8">
        <v>1</v>
      </c>
      <c r="I17" s="8">
        <f t="shared" si="1"/>
        <v>1134.4450803448383</v>
      </c>
      <c r="J17" s="8">
        <f t="shared" si="1"/>
        <v>-1134.1700633556638</v>
      </c>
      <c r="K17" s="8">
        <f t="shared" si="0"/>
        <v>0.27501698917450623</v>
      </c>
      <c r="L17" s="9" t="s">
        <v>12</v>
      </c>
      <c r="M17" s="1" t="s">
        <v>16</v>
      </c>
    </row>
    <row r="18" spans="1:16" hidden="1" x14ac:dyDescent="0.25">
      <c r="A18" s="4" t="s">
        <v>36</v>
      </c>
      <c r="B18" s="4" t="s">
        <v>37</v>
      </c>
      <c r="C18" s="4" t="s">
        <v>37</v>
      </c>
      <c r="D18" s="5" t="s">
        <v>37</v>
      </c>
      <c r="E18" s="10">
        <v>43541</v>
      </c>
      <c r="F18" s="8">
        <v>4150</v>
      </c>
      <c r="G18" s="8">
        <v>-4149</v>
      </c>
      <c r="H18" s="8">
        <v>1</v>
      </c>
      <c r="I18" s="8">
        <f t="shared" si="1"/>
        <v>1141.320505074201</v>
      </c>
      <c r="J18" s="8">
        <f t="shared" si="1"/>
        <v>-1141.0454880850264</v>
      </c>
      <c r="K18" s="8">
        <f t="shared" si="0"/>
        <v>0.27501698917450623</v>
      </c>
      <c r="L18" s="9" t="s">
        <v>12</v>
      </c>
      <c r="M18" s="1" t="s">
        <v>16</v>
      </c>
    </row>
    <row r="19" spans="1:16" hidden="1" x14ac:dyDescent="0.25">
      <c r="A19" s="4" t="s">
        <v>38</v>
      </c>
      <c r="B19" s="4" t="s">
        <v>39</v>
      </c>
      <c r="C19" s="4" t="s">
        <v>39</v>
      </c>
      <c r="D19" s="5" t="s">
        <v>39</v>
      </c>
      <c r="E19" s="10">
        <v>43556</v>
      </c>
      <c r="F19" s="8">
        <v>4050</v>
      </c>
      <c r="G19" s="8">
        <v>-4049</v>
      </c>
      <c r="H19" s="8">
        <v>1</v>
      </c>
      <c r="I19" s="8">
        <f t="shared" si="1"/>
        <v>1113.8188061567503</v>
      </c>
      <c r="J19" s="8">
        <f t="shared" si="1"/>
        <v>-1113.5437891675758</v>
      </c>
      <c r="K19" s="8">
        <f t="shared" si="0"/>
        <v>0.27501698917450623</v>
      </c>
      <c r="L19" s="9" t="s">
        <v>12</v>
      </c>
      <c r="M19" s="1" t="s">
        <v>16</v>
      </c>
    </row>
    <row r="20" spans="1:16" hidden="1" x14ac:dyDescent="0.25">
      <c r="A20" s="4" t="s">
        <v>40</v>
      </c>
      <c r="B20" s="4" t="s">
        <v>41</v>
      </c>
      <c r="C20" s="4" t="s">
        <v>41</v>
      </c>
      <c r="D20" s="5" t="s">
        <v>41</v>
      </c>
      <c r="E20" s="10">
        <v>43556</v>
      </c>
      <c r="F20" s="8">
        <v>3630</v>
      </c>
      <c r="G20" s="8">
        <v>-3629</v>
      </c>
      <c r="H20" s="8">
        <v>1</v>
      </c>
      <c r="I20" s="8">
        <f t="shared" si="1"/>
        <v>998.31167070345771</v>
      </c>
      <c r="J20" s="8">
        <f t="shared" si="1"/>
        <v>-998.03665371428315</v>
      </c>
      <c r="K20" s="8">
        <f t="shared" si="0"/>
        <v>0.27501698917450623</v>
      </c>
      <c r="L20" s="9" t="s">
        <v>12</v>
      </c>
      <c r="M20" s="1" t="s">
        <v>16</v>
      </c>
    </row>
    <row r="21" spans="1:16" hidden="1" x14ac:dyDescent="0.25">
      <c r="A21" s="4" t="s">
        <v>42</v>
      </c>
      <c r="B21" s="4" t="s">
        <v>43</v>
      </c>
      <c r="C21" s="4" t="s">
        <v>43</v>
      </c>
      <c r="D21" s="5" t="s">
        <v>43</v>
      </c>
      <c r="E21" s="10">
        <v>42578</v>
      </c>
      <c r="F21" s="8">
        <v>11350</v>
      </c>
      <c r="G21" s="8">
        <v>-11349</v>
      </c>
      <c r="H21" s="8">
        <v>1</v>
      </c>
      <c r="I21" s="8">
        <f t="shared" si="1"/>
        <v>3121.442827130646</v>
      </c>
      <c r="J21" s="8">
        <f t="shared" si="1"/>
        <v>-3121.1678101414714</v>
      </c>
      <c r="K21" s="8">
        <f t="shared" si="0"/>
        <v>0.27501698917450623</v>
      </c>
      <c r="L21" s="9" t="s">
        <v>12</v>
      </c>
      <c r="M21" s="1" t="s">
        <v>44</v>
      </c>
    </row>
    <row r="22" spans="1:16" hidden="1" x14ac:dyDescent="0.25">
      <c r="A22" s="4" t="s">
        <v>45</v>
      </c>
      <c r="B22" s="4" t="s">
        <v>46</v>
      </c>
      <c r="C22" s="4" t="s">
        <v>46</v>
      </c>
      <c r="D22" s="5" t="s">
        <v>46</v>
      </c>
      <c r="E22" s="10">
        <v>42675</v>
      </c>
      <c r="F22" s="8">
        <v>13898</v>
      </c>
      <c r="G22" s="8">
        <v>-13897</v>
      </c>
      <c r="H22" s="8">
        <v>1</v>
      </c>
      <c r="I22" s="8">
        <f t="shared" si="1"/>
        <v>3822.186115547288</v>
      </c>
      <c r="J22" s="8">
        <f t="shared" si="1"/>
        <v>-3821.9110985581133</v>
      </c>
      <c r="K22" s="8">
        <f t="shared" si="0"/>
        <v>0.27501698917450623</v>
      </c>
      <c r="L22" s="9" t="s">
        <v>12</v>
      </c>
      <c r="M22" s="1" t="s">
        <v>44</v>
      </c>
    </row>
    <row r="23" spans="1:16" hidden="1" x14ac:dyDescent="0.25">
      <c r="A23" s="4" t="s">
        <v>47</v>
      </c>
      <c r="B23" s="4" t="s">
        <v>48</v>
      </c>
      <c r="C23" s="4" t="s">
        <v>48</v>
      </c>
      <c r="D23" s="5" t="s">
        <v>48</v>
      </c>
      <c r="E23" s="10">
        <v>42705</v>
      </c>
      <c r="F23" s="8">
        <v>26000</v>
      </c>
      <c r="G23" s="8">
        <v>-25999</v>
      </c>
      <c r="H23" s="8">
        <v>1</v>
      </c>
      <c r="I23" s="8">
        <f t="shared" si="1"/>
        <v>7150.4417185371622</v>
      </c>
      <c r="J23" s="8">
        <f t="shared" si="1"/>
        <v>-7150.1667015479879</v>
      </c>
      <c r="K23" s="8">
        <f t="shared" si="0"/>
        <v>0.27501698917450623</v>
      </c>
      <c r="L23" s="9" t="s">
        <v>12</v>
      </c>
      <c r="M23" s="1" t="s">
        <v>44</v>
      </c>
    </row>
    <row r="24" spans="1:16" hidden="1" x14ac:dyDescent="0.25">
      <c r="A24" s="4" t="s">
        <v>49</v>
      </c>
      <c r="B24" s="4" t="s">
        <v>50</v>
      </c>
      <c r="C24" s="4" t="s">
        <v>50</v>
      </c>
      <c r="D24" s="5" t="s">
        <v>50</v>
      </c>
      <c r="E24" s="10">
        <v>43292</v>
      </c>
      <c r="F24" s="8">
        <v>44400</v>
      </c>
      <c r="G24" s="8">
        <v>-44399</v>
      </c>
      <c r="H24" s="8">
        <v>1</v>
      </c>
      <c r="I24" s="8">
        <f t="shared" si="1"/>
        <v>12210.754319348078</v>
      </c>
      <c r="J24" s="8">
        <f t="shared" si="1"/>
        <v>-12210.479302358903</v>
      </c>
      <c r="K24" s="8">
        <f t="shared" si="0"/>
        <v>0.27501698917450623</v>
      </c>
      <c r="L24" s="9" t="s">
        <v>12</v>
      </c>
      <c r="M24" s="1" t="s">
        <v>44</v>
      </c>
    </row>
    <row r="25" spans="1:16" hidden="1" x14ac:dyDescent="0.25">
      <c r="A25" s="4" t="s">
        <v>51</v>
      </c>
      <c r="B25" s="4" t="s">
        <v>52</v>
      </c>
      <c r="C25" s="4" t="s">
        <v>52</v>
      </c>
      <c r="D25" s="5" t="s">
        <v>52</v>
      </c>
      <c r="E25" s="10">
        <v>43435</v>
      </c>
      <c r="F25" s="8">
        <v>7070</v>
      </c>
      <c r="G25" s="8">
        <v>-7069</v>
      </c>
      <c r="H25" s="8">
        <v>1</v>
      </c>
      <c r="I25" s="8">
        <f t="shared" si="1"/>
        <v>1944.3701134637593</v>
      </c>
      <c r="J25" s="8">
        <f t="shared" si="1"/>
        <v>-1944.0950964745848</v>
      </c>
      <c r="K25" s="8">
        <f t="shared" si="0"/>
        <v>0.27501698917450623</v>
      </c>
      <c r="L25" s="9" t="s">
        <v>12</v>
      </c>
      <c r="M25" s="1" t="s">
        <v>44</v>
      </c>
    </row>
    <row r="26" spans="1:16" hidden="1" x14ac:dyDescent="0.25">
      <c r="A26" s="4" t="s">
        <v>53</v>
      </c>
      <c r="B26" s="4" t="s">
        <v>54</v>
      </c>
      <c r="C26" s="4" t="s">
        <v>54</v>
      </c>
      <c r="D26" s="5" t="s">
        <v>54</v>
      </c>
      <c r="E26" s="10">
        <v>43435</v>
      </c>
      <c r="F26" s="8">
        <v>6900</v>
      </c>
      <c r="G26" s="8">
        <v>-6899</v>
      </c>
      <c r="H26" s="8">
        <v>1</v>
      </c>
      <c r="I26" s="8">
        <f t="shared" si="1"/>
        <v>1897.6172253040932</v>
      </c>
      <c r="J26" s="8">
        <f t="shared" si="1"/>
        <v>-1897.3422083149187</v>
      </c>
      <c r="K26" s="8">
        <f t="shared" si="0"/>
        <v>0.27501698917450623</v>
      </c>
      <c r="L26" s="9" t="s">
        <v>12</v>
      </c>
      <c r="M26" s="1" t="s">
        <v>44</v>
      </c>
    </row>
    <row r="27" spans="1:16" hidden="1" x14ac:dyDescent="0.25">
      <c r="A27" s="4" t="s">
        <v>55</v>
      </c>
      <c r="B27" s="4" t="s">
        <v>56</v>
      </c>
      <c r="C27" s="4" t="s">
        <v>56</v>
      </c>
      <c r="D27" s="5" t="s">
        <v>56</v>
      </c>
      <c r="E27" s="10">
        <v>44470</v>
      </c>
      <c r="F27" s="8">
        <v>2725</v>
      </c>
      <c r="G27" s="8">
        <v>-2214.0300000000002</v>
      </c>
      <c r="H27" s="8">
        <v>510.97</v>
      </c>
      <c r="I27" s="8">
        <f t="shared" si="1"/>
        <v>749.4212955005296</v>
      </c>
      <c r="J27" s="8">
        <f t="shared" si="1"/>
        <v>-608.89586454203209</v>
      </c>
      <c r="K27" s="8">
        <f t="shared" si="0"/>
        <v>140.52543095849748</v>
      </c>
      <c r="L27" s="9" t="s">
        <v>12</v>
      </c>
      <c r="M27" s="1" t="s">
        <v>44</v>
      </c>
    </row>
    <row r="28" spans="1:16" hidden="1" x14ac:dyDescent="0.25">
      <c r="A28" s="50" t="s">
        <v>57</v>
      </c>
      <c r="B28" s="26" t="s">
        <v>58</v>
      </c>
      <c r="C28" s="26" t="s">
        <v>58</v>
      </c>
      <c r="D28" s="27" t="s">
        <v>58</v>
      </c>
      <c r="E28" s="28">
        <v>43281</v>
      </c>
      <c r="F28" s="29">
        <v>9568.1299999999992</v>
      </c>
      <c r="G28" s="29">
        <v>-9567.1299999999992</v>
      </c>
      <c r="H28" s="29">
        <v>1</v>
      </c>
      <c r="I28" s="29">
        <f t="shared" si="1"/>
        <v>2631.3983046302683</v>
      </c>
      <c r="J28" s="29">
        <f t="shared" si="1"/>
        <v>-2631.1232876410936</v>
      </c>
      <c r="K28" s="29">
        <f t="shared" si="0"/>
        <v>0.27501698917450623</v>
      </c>
      <c r="L28" s="9" t="s">
        <v>12</v>
      </c>
      <c r="M28" s="1" t="s">
        <v>59</v>
      </c>
      <c r="N28" s="1" t="s">
        <v>795</v>
      </c>
      <c r="O28" s="1" t="s">
        <v>799</v>
      </c>
    </row>
    <row r="29" spans="1:16" hidden="1" x14ac:dyDescent="0.25">
      <c r="A29" s="50" t="s">
        <v>60</v>
      </c>
      <c r="B29" s="26" t="s">
        <v>61</v>
      </c>
      <c r="C29" s="26" t="s">
        <v>61</v>
      </c>
      <c r="D29" s="27" t="s">
        <v>61</v>
      </c>
      <c r="E29" s="28">
        <v>43281</v>
      </c>
      <c r="F29" s="29">
        <v>41674.5</v>
      </c>
      <c r="G29" s="29">
        <v>-41673.5</v>
      </c>
      <c r="H29" s="29">
        <v>1</v>
      </c>
      <c r="I29" s="29">
        <f t="shared" si="1"/>
        <v>11461.195515352962</v>
      </c>
      <c r="J29" s="29">
        <f t="shared" si="1"/>
        <v>-11460.920498363786</v>
      </c>
      <c r="K29" s="29">
        <f t="shared" si="0"/>
        <v>0.27501698917450623</v>
      </c>
      <c r="L29" s="9" t="s">
        <v>12</v>
      </c>
      <c r="M29" s="1" t="s">
        <v>59</v>
      </c>
      <c r="N29" s="1" t="s">
        <v>795</v>
      </c>
      <c r="O29" s="1" t="s">
        <v>799</v>
      </c>
    </row>
    <row r="30" spans="1:16" hidden="1" x14ac:dyDescent="0.25">
      <c r="A30" s="50" t="s">
        <v>62</v>
      </c>
      <c r="B30" s="26" t="s">
        <v>63</v>
      </c>
      <c r="C30" s="26" t="s">
        <v>63</v>
      </c>
      <c r="D30" s="27" t="s">
        <v>63</v>
      </c>
      <c r="E30" s="28">
        <v>43281</v>
      </c>
      <c r="F30" s="29">
        <v>6378.75</v>
      </c>
      <c r="G30" s="29">
        <v>-6377.75</v>
      </c>
      <c r="H30" s="29">
        <v>1</v>
      </c>
      <c r="I30" s="29">
        <f t="shared" si="1"/>
        <v>1754.2646196968817</v>
      </c>
      <c r="J30" s="29">
        <f t="shared" si="1"/>
        <v>-1753.9896027077073</v>
      </c>
      <c r="K30" s="29">
        <f t="shared" si="0"/>
        <v>0.27501698917450623</v>
      </c>
      <c r="L30" s="9" t="s">
        <v>12</v>
      </c>
      <c r="M30" s="1" t="s">
        <v>59</v>
      </c>
      <c r="N30" s="1" t="s">
        <v>795</v>
      </c>
      <c r="O30" s="1" t="s">
        <v>799</v>
      </c>
    </row>
    <row r="31" spans="1:16" s="41" customFormat="1" x14ac:dyDescent="0.25">
      <c r="A31" s="51" t="s">
        <v>64</v>
      </c>
      <c r="B31" s="36" t="s">
        <v>65</v>
      </c>
      <c r="C31" s="36" t="s">
        <v>65</v>
      </c>
      <c r="D31" s="37" t="s">
        <v>65</v>
      </c>
      <c r="E31" s="38">
        <v>42522</v>
      </c>
      <c r="F31" s="39">
        <v>2261.79</v>
      </c>
      <c r="G31" s="39">
        <v>-2260.79</v>
      </c>
      <c r="H31" s="39">
        <v>1</v>
      </c>
      <c r="I31" s="39">
        <f t="shared" si="1"/>
        <v>622.03067594500646</v>
      </c>
      <c r="J31" s="39">
        <f t="shared" si="1"/>
        <v>-621.75565895583202</v>
      </c>
      <c r="K31" s="39">
        <f t="shared" si="0"/>
        <v>0.27501698917450623</v>
      </c>
      <c r="L31" s="40" t="s">
        <v>12</v>
      </c>
      <c r="M31" s="41" t="s">
        <v>59</v>
      </c>
      <c r="N31" s="41" t="s">
        <v>790</v>
      </c>
      <c r="P31" s="8">
        <v>1</v>
      </c>
    </row>
    <row r="32" spans="1:16" s="41" customFormat="1" x14ac:dyDescent="0.25">
      <c r="A32" s="51" t="s">
        <v>66</v>
      </c>
      <c r="B32" s="36" t="s">
        <v>67</v>
      </c>
      <c r="C32" s="36" t="s">
        <v>67</v>
      </c>
      <c r="D32" s="37" t="s">
        <v>67</v>
      </c>
      <c r="E32" s="38">
        <v>42522</v>
      </c>
      <c r="F32" s="39">
        <v>2594.56</v>
      </c>
      <c r="G32" s="39">
        <v>-2593.56</v>
      </c>
      <c r="H32" s="39">
        <v>1</v>
      </c>
      <c r="I32" s="39">
        <f t="shared" si="1"/>
        <v>713.54807943260698</v>
      </c>
      <c r="J32" s="39">
        <f t="shared" si="1"/>
        <v>-713.27306244343242</v>
      </c>
      <c r="K32" s="39">
        <f t="shared" si="0"/>
        <v>0.27501698917450623</v>
      </c>
      <c r="L32" s="40" t="s">
        <v>12</v>
      </c>
      <c r="M32" s="41" t="s">
        <v>59</v>
      </c>
      <c r="N32" s="41" t="s">
        <v>790</v>
      </c>
      <c r="P32" s="8">
        <v>1</v>
      </c>
    </row>
    <row r="33" spans="1:16" s="41" customFormat="1" x14ac:dyDescent="0.25">
      <c r="A33" s="51" t="s">
        <v>68</v>
      </c>
      <c r="B33" s="36" t="s">
        <v>69</v>
      </c>
      <c r="C33" s="36" t="s">
        <v>69</v>
      </c>
      <c r="D33" s="37" t="s">
        <v>69</v>
      </c>
      <c r="E33" s="38">
        <v>42522</v>
      </c>
      <c r="F33" s="39">
        <v>1826.44</v>
      </c>
      <c r="G33" s="39">
        <v>-1825.44</v>
      </c>
      <c r="H33" s="39">
        <v>1</v>
      </c>
      <c r="I33" s="39">
        <f t="shared" si="1"/>
        <v>502.3020297078852</v>
      </c>
      <c r="J33" s="39">
        <f t="shared" si="1"/>
        <v>-502.02701271871069</v>
      </c>
      <c r="K33" s="39">
        <f t="shared" si="0"/>
        <v>0.27501698917450623</v>
      </c>
      <c r="L33" s="40" t="s">
        <v>12</v>
      </c>
      <c r="M33" s="41" t="s">
        <v>59</v>
      </c>
      <c r="N33" s="41" t="s">
        <v>790</v>
      </c>
      <c r="P33" s="8">
        <v>1</v>
      </c>
    </row>
    <row r="34" spans="1:16" s="41" customFormat="1" x14ac:dyDescent="0.25">
      <c r="A34" s="51" t="s">
        <v>70</v>
      </c>
      <c r="B34" s="36" t="s">
        <v>71</v>
      </c>
      <c r="C34" s="36" t="s">
        <v>71</v>
      </c>
      <c r="D34" s="37" t="s">
        <v>71</v>
      </c>
      <c r="E34" s="38">
        <v>42522</v>
      </c>
      <c r="F34" s="39">
        <v>3397.61</v>
      </c>
      <c r="G34" s="39">
        <v>-3396.61</v>
      </c>
      <c r="H34" s="39">
        <v>1</v>
      </c>
      <c r="I34" s="39">
        <f t="shared" si="1"/>
        <v>934.40047258919424</v>
      </c>
      <c r="J34" s="39">
        <f t="shared" si="1"/>
        <v>-934.12545560001968</v>
      </c>
      <c r="K34" s="39">
        <f t="shared" si="0"/>
        <v>0.27501698917450623</v>
      </c>
      <c r="L34" s="40" t="s">
        <v>12</v>
      </c>
      <c r="M34" s="41" t="s">
        <v>59</v>
      </c>
      <c r="N34" s="41" t="s">
        <v>790</v>
      </c>
      <c r="P34" s="8">
        <v>1</v>
      </c>
    </row>
    <row r="35" spans="1:16" s="41" customFormat="1" x14ac:dyDescent="0.25">
      <c r="A35" s="51" t="s">
        <v>72</v>
      </c>
      <c r="B35" s="36" t="s">
        <v>73</v>
      </c>
      <c r="C35" s="36" t="s">
        <v>73</v>
      </c>
      <c r="D35" s="37" t="s">
        <v>73</v>
      </c>
      <c r="E35" s="38">
        <v>42522</v>
      </c>
      <c r="F35" s="39">
        <v>1037.6199999999999</v>
      </c>
      <c r="G35" s="39">
        <v>-1036.6199999999999</v>
      </c>
      <c r="H35" s="39">
        <v>1</v>
      </c>
      <c r="I35" s="39">
        <f t="shared" si="1"/>
        <v>285.36312830725115</v>
      </c>
      <c r="J35" s="39">
        <f t="shared" si="1"/>
        <v>-285.08811131807664</v>
      </c>
      <c r="K35" s="39">
        <f t="shared" si="0"/>
        <v>0.27501698917450623</v>
      </c>
      <c r="L35" s="40" t="s">
        <v>12</v>
      </c>
      <c r="M35" s="41" t="s">
        <v>59</v>
      </c>
      <c r="N35" s="41" t="s">
        <v>790</v>
      </c>
      <c r="P35" s="8">
        <v>1</v>
      </c>
    </row>
    <row r="36" spans="1:16" s="41" customFormat="1" x14ac:dyDescent="0.25">
      <c r="A36" s="51" t="s">
        <v>74</v>
      </c>
      <c r="B36" s="36" t="s">
        <v>75</v>
      </c>
      <c r="C36" s="36" t="s">
        <v>75</v>
      </c>
      <c r="D36" s="37" t="s">
        <v>75</v>
      </c>
      <c r="E36" s="38">
        <v>42522</v>
      </c>
      <c r="F36" s="39">
        <v>523.52</v>
      </c>
      <c r="G36" s="39">
        <v>-522.52</v>
      </c>
      <c r="H36" s="39">
        <v>1</v>
      </c>
      <c r="I36" s="39">
        <f t="shared" si="1"/>
        <v>143.97689417263751</v>
      </c>
      <c r="J36" s="39">
        <f t="shared" si="1"/>
        <v>-143.70187718346301</v>
      </c>
      <c r="K36" s="39">
        <f t="shared" si="0"/>
        <v>0.27501698917450623</v>
      </c>
      <c r="L36" s="40" t="s">
        <v>12</v>
      </c>
      <c r="M36" s="41" t="s">
        <v>59</v>
      </c>
      <c r="N36" s="41" t="s">
        <v>790</v>
      </c>
      <c r="P36" s="8">
        <v>1</v>
      </c>
    </row>
    <row r="37" spans="1:16" s="41" customFormat="1" x14ac:dyDescent="0.25">
      <c r="A37" s="51" t="s">
        <v>76</v>
      </c>
      <c r="B37" s="36" t="s">
        <v>77</v>
      </c>
      <c r="C37" s="36" t="s">
        <v>77</v>
      </c>
      <c r="D37" s="37" t="s">
        <v>77</v>
      </c>
      <c r="E37" s="38">
        <v>42522</v>
      </c>
      <c r="F37" s="39">
        <v>1638.05</v>
      </c>
      <c r="G37" s="39">
        <v>-1637.05</v>
      </c>
      <c r="H37" s="39">
        <v>1</v>
      </c>
      <c r="I37" s="39">
        <f t="shared" si="1"/>
        <v>450.49157911729998</v>
      </c>
      <c r="J37" s="39">
        <f t="shared" si="1"/>
        <v>-450.21656212812547</v>
      </c>
      <c r="K37" s="39">
        <f t="shared" si="0"/>
        <v>0.27501698917450623</v>
      </c>
      <c r="L37" s="40" t="s">
        <v>12</v>
      </c>
      <c r="M37" s="41" t="s">
        <v>59</v>
      </c>
      <c r="N37" s="41" t="s">
        <v>790</v>
      </c>
      <c r="P37" s="8">
        <v>1</v>
      </c>
    </row>
    <row r="38" spans="1:16" s="41" customFormat="1" x14ac:dyDescent="0.25">
      <c r="A38" s="51" t="s">
        <v>78</v>
      </c>
      <c r="B38" s="36" t="s">
        <v>79</v>
      </c>
      <c r="C38" s="36" t="s">
        <v>79</v>
      </c>
      <c r="D38" s="37" t="s">
        <v>79</v>
      </c>
      <c r="E38" s="38">
        <v>42522</v>
      </c>
      <c r="F38" s="39">
        <v>9466.68</v>
      </c>
      <c r="G38" s="39">
        <v>-9465.68</v>
      </c>
      <c r="H38" s="39">
        <v>1</v>
      </c>
      <c r="I38" s="39">
        <f t="shared" si="1"/>
        <v>2603.497831078515</v>
      </c>
      <c r="J38" s="39">
        <f t="shared" si="1"/>
        <v>-2603.2228140893403</v>
      </c>
      <c r="K38" s="39">
        <f t="shared" si="0"/>
        <v>0.27501698917450623</v>
      </c>
      <c r="L38" s="40" t="s">
        <v>12</v>
      </c>
      <c r="M38" s="41" t="s">
        <v>59</v>
      </c>
      <c r="N38" s="41" t="s">
        <v>790</v>
      </c>
      <c r="P38" s="8">
        <v>1</v>
      </c>
    </row>
    <row r="39" spans="1:16" s="41" customFormat="1" x14ac:dyDescent="0.25">
      <c r="A39" s="51" t="s">
        <v>80</v>
      </c>
      <c r="B39" s="36" t="s">
        <v>81</v>
      </c>
      <c r="C39" s="36" t="s">
        <v>81</v>
      </c>
      <c r="D39" s="37" t="s">
        <v>81</v>
      </c>
      <c r="E39" s="38">
        <v>42522</v>
      </c>
      <c r="F39" s="39">
        <v>235.64</v>
      </c>
      <c r="G39" s="39">
        <v>-234.64</v>
      </c>
      <c r="H39" s="39">
        <v>1</v>
      </c>
      <c r="I39" s="39">
        <f t="shared" si="1"/>
        <v>64.805003329080648</v>
      </c>
      <c r="J39" s="39">
        <f t="shared" si="1"/>
        <v>-64.529986339906145</v>
      </c>
      <c r="K39" s="39">
        <f t="shared" si="0"/>
        <v>0.27501698917450623</v>
      </c>
      <c r="L39" s="40" t="s">
        <v>12</v>
      </c>
      <c r="M39" s="41" t="s">
        <v>59</v>
      </c>
      <c r="N39" s="41" t="s">
        <v>790</v>
      </c>
      <c r="P39" s="8">
        <v>1</v>
      </c>
    </row>
    <row r="40" spans="1:16" hidden="1" x14ac:dyDescent="0.25">
      <c r="A40" s="50" t="s">
        <v>82</v>
      </c>
      <c r="B40" s="26" t="s">
        <v>83</v>
      </c>
      <c r="C40" s="26" t="s">
        <v>83</v>
      </c>
      <c r="D40" s="27" t="s">
        <v>83</v>
      </c>
      <c r="E40" s="28">
        <v>43374</v>
      </c>
      <c r="F40" s="29">
        <v>13133.73</v>
      </c>
      <c r="G40" s="29">
        <v>-13132.73</v>
      </c>
      <c r="H40" s="29">
        <v>1</v>
      </c>
      <c r="I40" s="29">
        <f t="shared" si="1"/>
        <v>3611.9988812308879</v>
      </c>
      <c r="J40" s="29">
        <f t="shared" si="1"/>
        <v>-3611.7238642417133</v>
      </c>
      <c r="K40" s="29">
        <f t="shared" si="0"/>
        <v>0.27501698917450623</v>
      </c>
      <c r="L40" s="9" t="s">
        <v>12</v>
      </c>
      <c r="M40" s="1" t="s">
        <v>59</v>
      </c>
      <c r="N40" s="1" t="s">
        <v>800</v>
      </c>
      <c r="O40" s="1" t="s">
        <v>801</v>
      </c>
    </row>
    <row r="41" spans="1:16" hidden="1" x14ac:dyDescent="0.25">
      <c r="A41" s="50" t="s">
        <v>84</v>
      </c>
      <c r="B41" s="26" t="s">
        <v>85</v>
      </c>
      <c r="C41" s="26" t="s">
        <v>85</v>
      </c>
      <c r="D41" s="27" t="s">
        <v>85</v>
      </c>
      <c r="E41" s="28">
        <v>43374</v>
      </c>
      <c r="F41" s="29">
        <v>110577.56</v>
      </c>
      <c r="G41" s="29">
        <v>-110576.56</v>
      </c>
      <c r="H41" s="29">
        <v>1</v>
      </c>
      <c r="I41" s="29">
        <f t="shared" si="1"/>
        <v>30410.707621463316</v>
      </c>
      <c r="J41" s="29">
        <f t="shared" si="1"/>
        <v>-30410.432604474139</v>
      </c>
      <c r="K41" s="29">
        <f t="shared" si="0"/>
        <v>0.27501698917450623</v>
      </c>
      <c r="L41" s="9" t="s">
        <v>12</v>
      </c>
      <c r="M41" s="1" t="s">
        <v>59</v>
      </c>
      <c r="N41" s="1" t="s">
        <v>800</v>
      </c>
      <c r="O41" s="1" t="s">
        <v>801</v>
      </c>
    </row>
    <row r="42" spans="1:16" hidden="1" x14ac:dyDescent="0.25">
      <c r="A42" s="50" t="s">
        <v>86</v>
      </c>
      <c r="B42" s="26" t="s">
        <v>87</v>
      </c>
      <c r="C42" s="26" t="s">
        <v>87</v>
      </c>
      <c r="D42" s="27" t="s">
        <v>87</v>
      </c>
      <c r="E42" s="28">
        <v>43374</v>
      </c>
      <c r="F42" s="29">
        <v>2003.27</v>
      </c>
      <c r="G42" s="29">
        <v>-2002.27</v>
      </c>
      <c r="H42" s="29">
        <v>1</v>
      </c>
      <c r="I42" s="29">
        <f t="shared" si="1"/>
        <v>550.93328390361319</v>
      </c>
      <c r="J42" s="29">
        <f t="shared" si="1"/>
        <v>-550.65826691443863</v>
      </c>
      <c r="K42" s="29">
        <f t="shared" si="0"/>
        <v>0.27501698917450623</v>
      </c>
      <c r="L42" s="9" t="s">
        <v>12</v>
      </c>
      <c r="M42" s="1" t="s">
        <v>59</v>
      </c>
      <c r="N42" s="1" t="s">
        <v>800</v>
      </c>
    </row>
    <row r="43" spans="1:16" hidden="1" x14ac:dyDescent="0.25">
      <c r="A43" s="50" t="s">
        <v>88</v>
      </c>
      <c r="B43" s="26" t="s">
        <v>89</v>
      </c>
      <c r="C43" s="26" t="s">
        <v>89</v>
      </c>
      <c r="D43" s="27" t="s">
        <v>89</v>
      </c>
      <c r="E43" s="28">
        <v>43374</v>
      </c>
      <c r="F43" s="29">
        <v>3475.18</v>
      </c>
      <c r="G43" s="29">
        <v>-3474.18</v>
      </c>
      <c r="H43" s="29">
        <v>1</v>
      </c>
      <c r="I43" s="29">
        <f t="shared" si="1"/>
        <v>955.73354043946063</v>
      </c>
      <c r="J43" s="29">
        <f t="shared" si="1"/>
        <v>-955.45852345028607</v>
      </c>
      <c r="K43" s="29">
        <f t="shared" si="0"/>
        <v>0.27501698917450623</v>
      </c>
      <c r="L43" s="9" t="s">
        <v>12</v>
      </c>
      <c r="M43" s="1" t="s">
        <v>59</v>
      </c>
      <c r="N43" s="1" t="s">
        <v>800</v>
      </c>
      <c r="O43" s="1" t="s">
        <v>801</v>
      </c>
    </row>
    <row r="44" spans="1:16" hidden="1" x14ac:dyDescent="0.25">
      <c r="A44" s="50" t="s">
        <v>90</v>
      </c>
      <c r="B44" s="26" t="s">
        <v>91</v>
      </c>
      <c r="C44" s="26" t="s">
        <v>91</v>
      </c>
      <c r="D44" s="27" t="s">
        <v>91</v>
      </c>
      <c r="E44" s="28">
        <v>43374</v>
      </c>
      <c r="F44" s="29">
        <v>49.21</v>
      </c>
      <c r="G44" s="29">
        <v>-48.21</v>
      </c>
      <c r="H44" s="29">
        <v>1</v>
      </c>
      <c r="I44" s="29">
        <f t="shared" si="1"/>
        <v>13.533586037277454</v>
      </c>
      <c r="J44" s="29">
        <f t="shared" si="1"/>
        <v>-13.258569048102947</v>
      </c>
      <c r="K44" s="29">
        <f t="shared" si="0"/>
        <v>0.27501698917450623</v>
      </c>
      <c r="L44" s="9" t="s">
        <v>12</v>
      </c>
      <c r="M44" s="1" t="s">
        <v>59</v>
      </c>
      <c r="N44" s="1" t="s">
        <v>800</v>
      </c>
      <c r="O44" s="1" t="s">
        <v>802</v>
      </c>
    </row>
    <row r="45" spans="1:16" hidden="1" x14ac:dyDescent="0.25">
      <c r="A45" s="50" t="s">
        <v>92</v>
      </c>
      <c r="B45" s="26" t="s">
        <v>91</v>
      </c>
      <c r="C45" s="26" t="s">
        <v>91</v>
      </c>
      <c r="D45" s="27" t="s">
        <v>91</v>
      </c>
      <c r="E45" s="28">
        <v>43374</v>
      </c>
      <c r="F45" s="29">
        <v>49.21</v>
      </c>
      <c r="G45" s="29">
        <v>-48.21</v>
      </c>
      <c r="H45" s="29">
        <v>1</v>
      </c>
      <c r="I45" s="29">
        <f t="shared" si="1"/>
        <v>13.533586037277454</v>
      </c>
      <c r="J45" s="29">
        <f t="shared" si="1"/>
        <v>-13.258569048102947</v>
      </c>
      <c r="K45" s="29">
        <f t="shared" si="0"/>
        <v>0.27501698917450623</v>
      </c>
      <c r="L45" s="9" t="s">
        <v>12</v>
      </c>
      <c r="M45" s="1" t="s">
        <v>59</v>
      </c>
      <c r="N45" s="1" t="s">
        <v>800</v>
      </c>
      <c r="O45" s="1" t="s">
        <v>802</v>
      </c>
    </row>
    <row r="46" spans="1:16" hidden="1" x14ac:dyDescent="0.25">
      <c r="A46" s="50" t="s">
        <v>93</v>
      </c>
      <c r="B46" s="26" t="s">
        <v>94</v>
      </c>
      <c r="C46" s="26" t="s">
        <v>94</v>
      </c>
      <c r="D46" s="27" t="s">
        <v>94</v>
      </c>
      <c r="E46" s="28">
        <v>43374</v>
      </c>
      <c r="F46" s="29">
        <v>2108.9299999999998</v>
      </c>
      <c r="G46" s="29">
        <v>-2107.9299999999998</v>
      </c>
      <c r="H46" s="29">
        <v>1</v>
      </c>
      <c r="I46" s="29">
        <f t="shared" si="1"/>
        <v>579.99157897979148</v>
      </c>
      <c r="J46" s="29">
        <f t="shared" si="1"/>
        <v>-579.71656199061692</v>
      </c>
      <c r="K46" s="29">
        <f t="shared" si="0"/>
        <v>0.27501698917450623</v>
      </c>
      <c r="L46" s="9" t="s">
        <v>12</v>
      </c>
      <c r="M46" s="1" t="s">
        <v>59</v>
      </c>
      <c r="N46" s="1" t="s">
        <v>800</v>
      </c>
      <c r="O46" s="1" t="s">
        <v>802</v>
      </c>
    </row>
    <row r="47" spans="1:16" hidden="1" x14ac:dyDescent="0.25">
      <c r="A47" s="50" t="s">
        <v>95</v>
      </c>
      <c r="B47" s="26" t="s">
        <v>96</v>
      </c>
      <c r="C47" s="26" t="s">
        <v>96</v>
      </c>
      <c r="D47" s="27" t="s">
        <v>96</v>
      </c>
      <c r="E47" s="28">
        <v>43374</v>
      </c>
      <c r="F47" s="29">
        <v>740.21</v>
      </c>
      <c r="G47" s="29">
        <v>-739.21</v>
      </c>
      <c r="H47" s="29">
        <v>1</v>
      </c>
      <c r="I47" s="29">
        <f t="shared" si="1"/>
        <v>203.57032555686129</v>
      </c>
      <c r="J47" s="29">
        <f t="shared" si="1"/>
        <v>-203.29530856768679</v>
      </c>
      <c r="K47" s="29">
        <f t="shared" si="0"/>
        <v>0.27501698917450623</v>
      </c>
      <c r="L47" s="9" t="s">
        <v>12</v>
      </c>
      <c r="M47" s="1" t="s">
        <v>59</v>
      </c>
      <c r="N47" s="1" t="s">
        <v>800</v>
      </c>
      <c r="O47" s="1" t="s">
        <v>801</v>
      </c>
    </row>
    <row r="48" spans="1:16" s="35" customFormat="1" hidden="1" x14ac:dyDescent="0.25">
      <c r="A48" s="52" t="s">
        <v>97</v>
      </c>
      <c r="B48" s="30" t="s">
        <v>96</v>
      </c>
      <c r="C48" s="30" t="s">
        <v>96</v>
      </c>
      <c r="D48" s="31" t="s">
        <v>96</v>
      </c>
      <c r="E48" s="32">
        <v>43374</v>
      </c>
      <c r="F48" s="33">
        <v>740.21</v>
      </c>
      <c r="G48" s="33">
        <v>-739.21</v>
      </c>
      <c r="H48" s="33">
        <v>1</v>
      </c>
      <c r="I48" s="33">
        <f t="shared" si="1"/>
        <v>203.57032555686129</v>
      </c>
      <c r="J48" s="33">
        <f t="shared" si="1"/>
        <v>-203.29530856768679</v>
      </c>
      <c r="K48" s="33">
        <f t="shared" si="0"/>
        <v>0.27501698917450623</v>
      </c>
      <c r="L48" s="34" t="s">
        <v>12</v>
      </c>
      <c r="M48" s="35" t="s">
        <v>59</v>
      </c>
      <c r="N48" s="1" t="s">
        <v>800</v>
      </c>
      <c r="O48" s="1" t="s">
        <v>801</v>
      </c>
    </row>
    <row r="49" spans="1:16" s="25" customFormat="1" x14ac:dyDescent="0.25">
      <c r="A49" s="53" t="s">
        <v>98</v>
      </c>
      <c r="B49" s="20" t="s">
        <v>99</v>
      </c>
      <c r="C49" s="20" t="s">
        <v>99</v>
      </c>
      <c r="D49" s="21" t="s">
        <v>99</v>
      </c>
      <c r="E49" s="22">
        <v>43374</v>
      </c>
      <c r="F49" s="23">
        <v>91.32</v>
      </c>
      <c r="G49" s="23">
        <v>-90.32</v>
      </c>
      <c r="H49" s="23">
        <v>1</v>
      </c>
      <c r="I49" s="23">
        <f t="shared" si="1"/>
        <v>25.11455145141591</v>
      </c>
      <c r="J49" s="23">
        <f t="shared" si="1"/>
        <v>-24.839534462241403</v>
      </c>
      <c r="K49" s="23">
        <f t="shared" si="0"/>
        <v>0.27501698917450623</v>
      </c>
      <c r="L49" s="24" t="s">
        <v>12</v>
      </c>
      <c r="M49" s="25" t="s">
        <v>59</v>
      </c>
      <c r="N49" s="25" t="s">
        <v>794</v>
      </c>
      <c r="O49" s="25" t="s">
        <v>893</v>
      </c>
      <c r="P49" s="8">
        <v>1</v>
      </c>
    </row>
    <row r="50" spans="1:16" hidden="1" x14ac:dyDescent="0.25">
      <c r="A50" s="50" t="s">
        <v>100</v>
      </c>
      <c r="B50" s="26" t="s">
        <v>784</v>
      </c>
      <c r="C50" s="26" t="s">
        <v>101</v>
      </c>
      <c r="D50" s="27" t="s">
        <v>101</v>
      </c>
      <c r="E50" s="28">
        <v>43374</v>
      </c>
      <c r="F50" s="29">
        <v>1741.74</v>
      </c>
      <c r="G50" s="29">
        <v>-1740.74</v>
      </c>
      <c r="H50" s="29">
        <v>1</v>
      </c>
      <c r="I50" s="29">
        <f t="shared" si="1"/>
        <v>479.0080907248045</v>
      </c>
      <c r="J50" s="29">
        <f t="shared" si="1"/>
        <v>-478.73307373563</v>
      </c>
      <c r="K50" s="29">
        <f t="shared" si="0"/>
        <v>0.27501698917450623</v>
      </c>
      <c r="L50" s="9" t="s">
        <v>12</v>
      </c>
      <c r="M50" s="1" t="s">
        <v>59</v>
      </c>
      <c r="N50" s="1" t="s">
        <v>795</v>
      </c>
      <c r="O50" s="1" t="s">
        <v>799</v>
      </c>
    </row>
    <row r="51" spans="1:16" hidden="1" x14ac:dyDescent="0.25">
      <c r="A51" s="50" t="s">
        <v>102</v>
      </c>
      <c r="B51" s="26" t="s">
        <v>785</v>
      </c>
      <c r="C51" s="26" t="s">
        <v>101</v>
      </c>
      <c r="D51" s="27" t="s">
        <v>101</v>
      </c>
      <c r="E51" s="28">
        <v>43374</v>
      </c>
      <c r="F51" s="29">
        <v>287.95999999999998</v>
      </c>
      <c r="G51" s="29">
        <v>-286.95999999999998</v>
      </c>
      <c r="H51" s="29">
        <v>1</v>
      </c>
      <c r="I51" s="29">
        <f t="shared" si="1"/>
        <v>79.193892202690819</v>
      </c>
      <c r="J51" s="29">
        <f t="shared" si="1"/>
        <v>-78.918875213516316</v>
      </c>
      <c r="K51" s="29">
        <f t="shared" si="0"/>
        <v>0.27501698917450623</v>
      </c>
      <c r="L51" s="9" t="s">
        <v>12</v>
      </c>
      <c r="M51" s="1" t="s">
        <v>59</v>
      </c>
      <c r="N51" s="1" t="s">
        <v>795</v>
      </c>
      <c r="O51" s="1" t="s">
        <v>799</v>
      </c>
    </row>
    <row r="52" spans="1:16" hidden="1" x14ac:dyDescent="0.25">
      <c r="A52" s="50" t="s">
        <v>103</v>
      </c>
      <c r="B52" s="26" t="s">
        <v>786</v>
      </c>
      <c r="C52" s="26" t="s">
        <v>101</v>
      </c>
      <c r="D52" s="27" t="s">
        <v>101</v>
      </c>
      <c r="E52" s="28">
        <v>43374</v>
      </c>
      <c r="F52" s="29">
        <v>734.08</v>
      </c>
      <c r="G52" s="29">
        <v>-733.08</v>
      </c>
      <c r="H52" s="29">
        <v>1</v>
      </c>
      <c r="I52" s="29">
        <f t="shared" si="1"/>
        <v>201.88447141322158</v>
      </c>
      <c r="J52" s="29">
        <f t="shared" si="1"/>
        <v>-201.60945442404704</v>
      </c>
      <c r="K52" s="29">
        <f t="shared" si="0"/>
        <v>0.27501698917450623</v>
      </c>
      <c r="L52" s="9" t="s">
        <v>12</v>
      </c>
      <c r="M52" s="1" t="s">
        <v>59</v>
      </c>
      <c r="N52" s="1" t="s">
        <v>795</v>
      </c>
      <c r="O52" s="1" t="s">
        <v>799</v>
      </c>
    </row>
    <row r="53" spans="1:16" hidden="1" x14ac:dyDescent="0.25">
      <c r="A53" s="50" t="s">
        <v>104</v>
      </c>
      <c r="B53" s="26" t="s">
        <v>787</v>
      </c>
      <c r="C53" s="26" t="s">
        <v>101</v>
      </c>
      <c r="D53" s="27" t="s">
        <v>101</v>
      </c>
      <c r="E53" s="28">
        <v>43374</v>
      </c>
      <c r="F53" s="29">
        <v>462.81</v>
      </c>
      <c r="G53" s="29">
        <v>-461.81</v>
      </c>
      <c r="H53" s="29">
        <v>1</v>
      </c>
      <c r="I53" s="29">
        <f t="shared" si="1"/>
        <v>127.28061275985324</v>
      </c>
      <c r="J53" s="29">
        <f t="shared" si="1"/>
        <v>-127.00559577067874</v>
      </c>
      <c r="K53" s="29">
        <f t="shared" si="0"/>
        <v>0.27501698917450623</v>
      </c>
      <c r="L53" s="9" t="s">
        <v>12</v>
      </c>
      <c r="M53" s="1" t="s">
        <v>59</v>
      </c>
      <c r="N53" s="1" t="s">
        <v>795</v>
      </c>
      <c r="O53" s="1" t="s">
        <v>799</v>
      </c>
    </row>
    <row r="54" spans="1:16" hidden="1" x14ac:dyDescent="0.25">
      <c r="A54" s="50" t="s">
        <v>105</v>
      </c>
      <c r="B54" s="26" t="s">
        <v>788</v>
      </c>
      <c r="C54" s="26" t="s">
        <v>101</v>
      </c>
      <c r="D54" s="27" t="s">
        <v>101</v>
      </c>
      <c r="E54" s="28">
        <v>43374</v>
      </c>
      <c r="F54" s="29">
        <v>15737.7</v>
      </c>
      <c r="G54" s="29">
        <v>-15736.7</v>
      </c>
      <c r="H54" s="29">
        <v>1</v>
      </c>
      <c r="I54" s="29">
        <f t="shared" si="1"/>
        <v>4328.1348705316277</v>
      </c>
      <c r="J54" s="29">
        <f t="shared" si="1"/>
        <v>-4327.8598535424526</v>
      </c>
      <c r="K54" s="29">
        <f t="shared" si="0"/>
        <v>0.27501698917450623</v>
      </c>
      <c r="L54" s="9" t="s">
        <v>12</v>
      </c>
      <c r="M54" s="1" t="s">
        <v>59</v>
      </c>
      <c r="N54" s="1" t="s">
        <v>795</v>
      </c>
      <c r="O54" s="1" t="s">
        <v>799</v>
      </c>
    </row>
    <row r="55" spans="1:16" hidden="1" x14ac:dyDescent="0.25">
      <c r="A55" s="50" t="s">
        <v>106</v>
      </c>
      <c r="B55" s="26" t="s">
        <v>107</v>
      </c>
      <c r="C55" s="26" t="s">
        <v>107</v>
      </c>
      <c r="D55" s="27" t="s">
        <v>107</v>
      </c>
      <c r="E55" s="28">
        <v>43374</v>
      </c>
      <c r="F55" s="29">
        <v>2287.9299999999998</v>
      </c>
      <c r="G55" s="29">
        <v>-2286.9299999999998</v>
      </c>
      <c r="H55" s="29">
        <v>1</v>
      </c>
      <c r="I55" s="29">
        <f t="shared" si="1"/>
        <v>629.21962004202805</v>
      </c>
      <c r="J55" s="29">
        <f t="shared" si="1"/>
        <v>-628.94460305285349</v>
      </c>
      <c r="K55" s="29">
        <f t="shared" si="0"/>
        <v>0.27501698917450623</v>
      </c>
      <c r="L55" s="9" t="s">
        <v>12</v>
      </c>
      <c r="M55" s="1" t="s">
        <v>59</v>
      </c>
      <c r="N55" s="1" t="s">
        <v>795</v>
      </c>
      <c r="O55" s="1" t="s">
        <v>799</v>
      </c>
    </row>
    <row r="56" spans="1:16" hidden="1" x14ac:dyDescent="0.25">
      <c r="A56" s="50" t="s">
        <v>108</v>
      </c>
      <c r="B56" s="26" t="s">
        <v>109</v>
      </c>
      <c r="C56" s="26" t="s">
        <v>109</v>
      </c>
      <c r="D56" s="27" t="s">
        <v>109</v>
      </c>
      <c r="E56" s="28">
        <v>43374</v>
      </c>
      <c r="F56" s="29">
        <v>2797.8</v>
      </c>
      <c r="G56" s="29">
        <v>-2796.8</v>
      </c>
      <c r="H56" s="29">
        <v>1</v>
      </c>
      <c r="I56" s="29">
        <f t="shared" si="1"/>
        <v>769.44253231243363</v>
      </c>
      <c r="J56" s="29">
        <f t="shared" si="1"/>
        <v>-769.16751532325918</v>
      </c>
      <c r="K56" s="29">
        <f t="shared" si="0"/>
        <v>0.27501698917450623</v>
      </c>
      <c r="L56" s="9" t="s">
        <v>12</v>
      </c>
      <c r="M56" s="1" t="s">
        <v>59</v>
      </c>
      <c r="N56" s="1" t="s">
        <v>795</v>
      </c>
      <c r="O56" s="1" t="s">
        <v>802</v>
      </c>
    </row>
    <row r="57" spans="1:16" hidden="1" x14ac:dyDescent="0.25">
      <c r="A57" s="50" t="s">
        <v>110</v>
      </c>
      <c r="B57" s="26" t="s">
        <v>111</v>
      </c>
      <c r="C57" s="26" t="s">
        <v>111</v>
      </c>
      <c r="D57" s="27" t="s">
        <v>111</v>
      </c>
      <c r="E57" s="28">
        <v>43374</v>
      </c>
      <c r="F57" s="29">
        <v>20981.24</v>
      </c>
      <c r="G57" s="29">
        <v>-20980.240000000002</v>
      </c>
      <c r="H57" s="29">
        <v>1</v>
      </c>
      <c r="I57" s="29">
        <f t="shared" si="1"/>
        <v>5770.1974539477178</v>
      </c>
      <c r="J57" s="29">
        <f t="shared" si="1"/>
        <v>-5769.9224369585436</v>
      </c>
      <c r="K57" s="29">
        <f t="shared" si="0"/>
        <v>0.27501698917450623</v>
      </c>
      <c r="L57" s="9" t="s">
        <v>12</v>
      </c>
      <c r="M57" s="1" t="s">
        <v>59</v>
      </c>
      <c r="N57" s="1" t="s">
        <v>795</v>
      </c>
      <c r="O57" s="1" t="s">
        <v>802</v>
      </c>
    </row>
    <row r="58" spans="1:16" s="25" customFormat="1" x14ac:dyDescent="0.25">
      <c r="A58" s="53" t="s">
        <v>112</v>
      </c>
      <c r="B58" s="20" t="s">
        <v>113</v>
      </c>
      <c r="C58" s="20" t="s">
        <v>113</v>
      </c>
      <c r="D58" s="21" t="s">
        <v>113</v>
      </c>
      <c r="E58" s="22">
        <v>43374</v>
      </c>
      <c r="F58" s="23">
        <v>27644.47</v>
      </c>
      <c r="G58" s="23">
        <v>-27643.47</v>
      </c>
      <c r="H58" s="23">
        <v>1</v>
      </c>
      <c r="I58" s="23">
        <f t="shared" si="1"/>
        <v>7602.6989067249633</v>
      </c>
      <c r="J58" s="23">
        <f t="shared" si="1"/>
        <v>-7602.4238897357891</v>
      </c>
      <c r="K58" s="23">
        <f t="shared" si="0"/>
        <v>0.27501698917450623</v>
      </c>
      <c r="L58" s="24" t="s">
        <v>12</v>
      </c>
      <c r="M58" s="25" t="s">
        <v>59</v>
      </c>
      <c r="N58" s="25" t="s">
        <v>794</v>
      </c>
      <c r="O58" s="25" t="s">
        <v>893</v>
      </c>
      <c r="P58" s="8">
        <v>1</v>
      </c>
    </row>
    <row r="59" spans="1:16" hidden="1" x14ac:dyDescent="0.25">
      <c r="A59" s="50" t="s">
        <v>114</v>
      </c>
      <c r="B59" s="26" t="s">
        <v>94</v>
      </c>
      <c r="C59" s="26" t="s">
        <v>94</v>
      </c>
      <c r="D59" s="27" t="s">
        <v>94</v>
      </c>
      <c r="E59" s="28">
        <v>43374</v>
      </c>
      <c r="F59" s="29">
        <v>23881.06</v>
      </c>
      <c r="G59" s="29">
        <v>-23880.06</v>
      </c>
      <c r="H59" s="29">
        <v>1</v>
      </c>
      <c r="I59" s="29">
        <f t="shared" si="1"/>
        <v>6567.6972194957343</v>
      </c>
      <c r="J59" s="29">
        <f t="shared" si="1"/>
        <v>-6567.4222025065601</v>
      </c>
      <c r="K59" s="29">
        <f t="shared" si="0"/>
        <v>0.27501698917450623</v>
      </c>
      <c r="L59" s="9" t="s">
        <v>12</v>
      </c>
      <c r="M59" s="1" t="s">
        <v>59</v>
      </c>
      <c r="N59" s="1" t="s">
        <v>800</v>
      </c>
      <c r="O59" s="1" t="s">
        <v>802</v>
      </c>
    </row>
    <row r="60" spans="1:16" hidden="1" x14ac:dyDescent="0.25">
      <c r="A60" s="50" t="s">
        <v>115</v>
      </c>
      <c r="B60" s="26" t="s">
        <v>116</v>
      </c>
      <c r="C60" s="26" t="s">
        <v>116</v>
      </c>
      <c r="D60" s="27" t="s">
        <v>116</v>
      </c>
      <c r="E60" s="28">
        <v>43374</v>
      </c>
      <c r="F60" s="29">
        <v>125.4</v>
      </c>
      <c r="G60" s="29">
        <v>-124.4</v>
      </c>
      <c r="H60" s="29">
        <v>1</v>
      </c>
      <c r="I60" s="29">
        <f t="shared" si="1"/>
        <v>34.487130442483085</v>
      </c>
      <c r="J60" s="29">
        <f t="shared" si="1"/>
        <v>-34.212113453308582</v>
      </c>
      <c r="K60" s="29">
        <f t="shared" si="0"/>
        <v>0.27501698917450623</v>
      </c>
      <c r="L60" s="9" t="s">
        <v>12</v>
      </c>
      <c r="M60" s="1" t="s">
        <v>59</v>
      </c>
      <c r="N60" s="1" t="s">
        <v>800</v>
      </c>
      <c r="O60" s="1" t="s">
        <v>799</v>
      </c>
    </row>
    <row r="61" spans="1:16" hidden="1" x14ac:dyDescent="0.25">
      <c r="A61" s="50" t="s">
        <v>117</v>
      </c>
      <c r="B61" s="26" t="s">
        <v>118</v>
      </c>
      <c r="C61" s="26" t="s">
        <v>118</v>
      </c>
      <c r="D61" s="27" t="s">
        <v>118</v>
      </c>
      <c r="E61" s="28">
        <v>43374</v>
      </c>
      <c r="F61" s="29">
        <v>179.44</v>
      </c>
      <c r="G61" s="29">
        <v>-178.44</v>
      </c>
      <c r="H61" s="29">
        <v>1</v>
      </c>
      <c r="I61" s="29">
        <f t="shared" si="1"/>
        <v>49.349048537473401</v>
      </c>
      <c r="J61" s="29">
        <f t="shared" si="1"/>
        <v>-49.074031548298898</v>
      </c>
      <c r="K61" s="29">
        <f t="shared" si="0"/>
        <v>0.27501698917450623</v>
      </c>
      <c r="L61" s="9" t="s">
        <v>12</v>
      </c>
      <c r="M61" s="1" t="s">
        <v>59</v>
      </c>
      <c r="N61" s="1" t="s">
        <v>800</v>
      </c>
      <c r="O61" s="1" t="s">
        <v>799</v>
      </c>
    </row>
    <row r="62" spans="1:16" hidden="1" x14ac:dyDescent="0.25">
      <c r="A62" s="50" t="s">
        <v>119</v>
      </c>
      <c r="B62" s="26" t="s">
        <v>120</v>
      </c>
      <c r="C62" s="26" t="s">
        <v>120</v>
      </c>
      <c r="D62" s="27" t="s">
        <v>120</v>
      </c>
      <c r="E62" s="28">
        <v>43374</v>
      </c>
      <c r="F62" s="29">
        <v>269.17</v>
      </c>
      <c r="G62" s="29">
        <v>-268.17</v>
      </c>
      <c r="H62" s="29">
        <v>1</v>
      </c>
      <c r="I62" s="29">
        <f t="shared" si="1"/>
        <v>74.026322976101852</v>
      </c>
      <c r="J62" s="29">
        <f t="shared" si="1"/>
        <v>-73.751305986927349</v>
      </c>
      <c r="K62" s="29">
        <f t="shared" si="0"/>
        <v>0.27501698917450623</v>
      </c>
      <c r="L62" s="9" t="s">
        <v>12</v>
      </c>
      <c r="M62" s="1" t="s">
        <v>59</v>
      </c>
      <c r="N62" s="1" t="s">
        <v>800</v>
      </c>
      <c r="O62" s="1" t="s">
        <v>799</v>
      </c>
    </row>
    <row r="63" spans="1:16" hidden="1" x14ac:dyDescent="0.25">
      <c r="A63" s="50" t="s">
        <v>121</v>
      </c>
      <c r="B63" s="26" t="s">
        <v>122</v>
      </c>
      <c r="C63" s="26" t="s">
        <v>122</v>
      </c>
      <c r="D63" s="27" t="s">
        <v>122</v>
      </c>
      <c r="E63" s="28">
        <v>43374</v>
      </c>
      <c r="F63" s="29">
        <v>179.44</v>
      </c>
      <c r="G63" s="29">
        <v>-178.44</v>
      </c>
      <c r="H63" s="29">
        <v>1</v>
      </c>
      <c r="I63" s="29">
        <f t="shared" si="1"/>
        <v>49.349048537473401</v>
      </c>
      <c r="J63" s="29">
        <f t="shared" si="1"/>
        <v>-49.074031548298898</v>
      </c>
      <c r="K63" s="29">
        <f t="shared" si="0"/>
        <v>0.27501698917450623</v>
      </c>
      <c r="L63" s="9" t="s">
        <v>12</v>
      </c>
      <c r="M63" s="1" t="s">
        <v>59</v>
      </c>
      <c r="N63" s="1" t="s">
        <v>800</v>
      </c>
      <c r="O63" s="1" t="s">
        <v>799</v>
      </c>
    </row>
    <row r="64" spans="1:16" hidden="1" x14ac:dyDescent="0.25">
      <c r="A64" s="50" t="s">
        <v>123</v>
      </c>
      <c r="B64" s="26" t="s">
        <v>109</v>
      </c>
      <c r="C64" s="26" t="s">
        <v>109</v>
      </c>
      <c r="D64" s="27" t="s">
        <v>109</v>
      </c>
      <c r="E64" s="28">
        <v>43374</v>
      </c>
      <c r="F64" s="29">
        <v>7667.66</v>
      </c>
      <c r="G64" s="29">
        <v>-7666.66</v>
      </c>
      <c r="H64" s="29">
        <v>1</v>
      </c>
      <c r="I64" s="29">
        <f t="shared" si="1"/>
        <v>2108.7367672137948</v>
      </c>
      <c r="J64" s="29">
        <f t="shared" si="1"/>
        <v>-2108.4617502246201</v>
      </c>
      <c r="K64" s="29">
        <f t="shared" si="0"/>
        <v>0.27501698917450623</v>
      </c>
      <c r="L64" s="9" t="s">
        <v>12</v>
      </c>
      <c r="M64" s="1" t="s">
        <v>59</v>
      </c>
      <c r="N64" s="1" t="s">
        <v>800</v>
      </c>
      <c r="O64" s="1" t="s">
        <v>802</v>
      </c>
    </row>
    <row r="65" spans="1:16" hidden="1" x14ac:dyDescent="0.25">
      <c r="A65" s="50" t="s">
        <v>124</v>
      </c>
      <c r="B65" s="26" t="s">
        <v>85</v>
      </c>
      <c r="C65" s="26" t="s">
        <v>85</v>
      </c>
      <c r="D65" s="27" t="s">
        <v>85</v>
      </c>
      <c r="E65" s="28">
        <v>43374</v>
      </c>
      <c r="F65" s="29">
        <v>71418.02</v>
      </c>
      <c r="G65" s="29">
        <v>-71417.02</v>
      </c>
      <c r="H65" s="29">
        <v>1</v>
      </c>
      <c r="I65" s="29">
        <f t="shared" si="1"/>
        <v>19641.168833204672</v>
      </c>
      <c r="J65" s="29">
        <f t="shared" si="1"/>
        <v>-19640.893816215499</v>
      </c>
      <c r="K65" s="29">
        <f t="shared" si="0"/>
        <v>0.27501698917450623</v>
      </c>
      <c r="L65" s="9" t="s">
        <v>12</v>
      </c>
      <c r="M65" s="1" t="s">
        <v>59</v>
      </c>
      <c r="N65" s="1" t="s">
        <v>800</v>
      </c>
      <c r="O65" s="1" t="s">
        <v>801</v>
      </c>
    </row>
    <row r="66" spans="1:16" s="25" customFormat="1" x14ac:dyDescent="0.25">
      <c r="A66" s="53" t="s">
        <v>125</v>
      </c>
      <c r="B66" s="20" t="s">
        <v>99</v>
      </c>
      <c r="C66" s="20" t="s">
        <v>99</v>
      </c>
      <c r="D66" s="21" t="s">
        <v>99</v>
      </c>
      <c r="E66" s="22">
        <v>43374</v>
      </c>
      <c r="F66" s="23">
        <v>731.07</v>
      </c>
      <c r="G66" s="23">
        <v>-730.07</v>
      </c>
      <c r="H66" s="23">
        <v>1</v>
      </c>
      <c r="I66" s="23">
        <f t="shared" si="1"/>
        <v>201.05667027580631</v>
      </c>
      <c r="J66" s="23">
        <f t="shared" si="1"/>
        <v>-200.78165328663181</v>
      </c>
      <c r="K66" s="23">
        <f t="shared" si="0"/>
        <v>0.27501698917450623</v>
      </c>
      <c r="L66" s="24" t="s">
        <v>12</v>
      </c>
      <c r="M66" s="25" t="s">
        <v>59</v>
      </c>
      <c r="N66" s="25" t="s">
        <v>794</v>
      </c>
      <c r="O66" s="25" t="s">
        <v>893</v>
      </c>
      <c r="P66" s="8">
        <v>1</v>
      </c>
    </row>
    <row r="67" spans="1:16" hidden="1" x14ac:dyDescent="0.25">
      <c r="A67" s="50" t="s">
        <v>126</v>
      </c>
      <c r="B67" s="26" t="s">
        <v>122</v>
      </c>
      <c r="C67" s="26" t="s">
        <v>122</v>
      </c>
      <c r="D67" s="27" t="s">
        <v>122</v>
      </c>
      <c r="E67" s="28">
        <v>43374</v>
      </c>
      <c r="F67" s="29">
        <v>179.44</v>
      </c>
      <c r="G67" s="29">
        <v>-178.44</v>
      </c>
      <c r="H67" s="29">
        <v>1</v>
      </c>
      <c r="I67" s="29">
        <f t="shared" si="1"/>
        <v>49.349048537473401</v>
      </c>
      <c r="J67" s="29">
        <f t="shared" si="1"/>
        <v>-49.074031548298898</v>
      </c>
      <c r="K67" s="29">
        <f t="shared" si="0"/>
        <v>0.27501698917450623</v>
      </c>
      <c r="L67" s="9" t="s">
        <v>12</v>
      </c>
      <c r="M67" s="1" t="s">
        <v>59</v>
      </c>
      <c r="N67" s="1" t="s">
        <v>804</v>
      </c>
      <c r="O67" s="1" t="s">
        <v>802</v>
      </c>
    </row>
    <row r="68" spans="1:16" hidden="1" x14ac:dyDescent="0.25">
      <c r="A68" s="50" t="s">
        <v>127</v>
      </c>
      <c r="B68" s="26" t="s">
        <v>109</v>
      </c>
      <c r="C68" s="26" t="s">
        <v>109</v>
      </c>
      <c r="D68" s="27" t="s">
        <v>109</v>
      </c>
      <c r="E68" s="28">
        <v>43374</v>
      </c>
      <c r="F68" s="29">
        <v>4831.88</v>
      </c>
      <c r="G68" s="29">
        <v>-4830.88</v>
      </c>
      <c r="H68" s="29">
        <v>1</v>
      </c>
      <c r="I68" s="29">
        <f t="shared" si="1"/>
        <v>1328.8490896525134</v>
      </c>
      <c r="J68" s="29">
        <f t="shared" si="1"/>
        <v>-1328.5740726633387</v>
      </c>
      <c r="K68" s="29">
        <f t="shared" si="0"/>
        <v>0.27501698917450623</v>
      </c>
      <c r="L68" s="9" t="s">
        <v>12</v>
      </c>
      <c r="M68" s="1" t="s">
        <v>59</v>
      </c>
      <c r="N68" s="1" t="s">
        <v>804</v>
      </c>
      <c r="O68" s="1" t="s">
        <v>802</v>
      </c>
    </row>
    <row r="69" spans="1:16" hidden="1" x14ac:dyDescent="0.25">
      <c r="A69" s="50" t="s">
        <v>128</v>
      </c>
      <c r="B69" s="26" t="s">
        <v>109</v>
      </c>
      <c r="C69" s="26" t="s">
        <v>109</v>
      </c>
      <c r="D69" s="27" t="s">
        <v>109</v>
      </c>
      <c r="E69" s="28">
        <v>43374</v>
      </c>
      <c r="F69" s="29">
        <v>2559.04</v>
      </c>
      <c r="G69" s="29">
        <v>-2558.04</v>
      </c>
      <c r="H69" s="29">
        <v>1</v>
      </c>
      <c r="I69" s="29">
        <f t="shared" si="1"/>
        <v>703.77947597712853</v>
      </c>
      <c r="J69" s="29">
        <f t="shared" si="1"/>
        <v>-703.50445898795397</v>
      </c>
      <c r="K69" s="29">
        <f t="shared" si="0"/>
        <v>0.27501698917450623</v>
      </c>
      <c r="L69" s="9" t="s">
        <v>12</v>
      </c>
      <c r="M69" s="1" t="s">
        <v>59</v>
      </c>
      <c r="N69" s="1" t="s">
        <v>804</v>
      </c>
      <c r="O69" s="1" t="s">
        <v>802</v>
      </c>
    </row>
    <row r="70" spans="1:16" hidden="1" x14ac:dyDescent="0.25">
      <c r="A70" s="50" t="s">
        <v>129</v>
      </c>
      <c r="B70" s="26" t="s">
        <v>109</v>
      </c>
      <c r="C70" s="26" t="s">
        <v>109</v>
      </c>
      <c r="D70" s="27" t="s">
        <v>109</v>
      </c>
      <c r="E70" s="28">
        <v>43374</v>
      </c>
      <c r="F70" s="29">
        <v>2559.04</v>
      </c>
      <c r="G70" s="29">
        <v>-2558.04</v>
      </c>
      <c r="H70" s="29">
        <v>1</v>
      </c>
      <c r="I70" s="29">
        <f t="shared" ref="I70:K133" si="2">F70/3.636139</f>
        <v>703.77947597712853</v>
      </c>
      <c r="J70" s="29">
        <f t="shared" si="2"/>
        <v>-703.50445898795397</v>
      </c>
      <c r="K70" s="29">
        <f t="shared" si="2"/>
        <v>0.27501698917450623</v>
      </c>
      <c r="L70" s="9" t="s">
        <v>12</v>
      </c>
      <c r="M70" s="1" t="s">
        <v>59</v>
      </c>
      <c r="N70" s="1" t="s">
        <v>804</v>
      </c>
      <c r="O70" s="1" t="s">
        <v>802</v>
      </c>
    </row>
    <row r="71" spans="1:16" hidden="1" x14ac:dyDescent="0.25">
      <c r="A71" s="50" t="s">
        <v>130</v>
      </c>
      <c r="B71" s="26" t="s">
        <v>131</v>
      </c>
      <c r="C71" s="26" t="s">
        <v>131</v>
      </c>
      <c r="D71" s="27" t="s">
        <v>131</v>
      </c>
      <c r="E71" s="28">
        <v>43830</v>
      </c>
      <c r="F71" s="29">
        <v>0.99</v>
      </c>
      <c r="G71" s="29">
        <v>0</v>
      </c>
      <c r="H71" s="29">
        <v>0.99</v>
      </c>
      <c r="I71" s="29">
        <f t="shared" si="2"/>
        <v>0.2722668192827612</v>
      </c>
      <c r="J71" s="29">
        <f t="shared" si="2"/>
        <v>0</v>
      </c>
      <c r="K71" s="29">
        <f t="shared" si="2"/>
        <v>0.2722668192827612</v>
      </c>
      <c r="L71" s="9" t="s">
        <v>12</v>
      </c>
      <c r="M71" s="1" t="s">
        <v>59</v>
      </c>
      <c r="N71" s="1" t="s">
        <v>804</v>
      </c>
      <c r="O71" s="1" t="s">
        <v>799</v>
      </c>
    </row>
    <row r="72" spans="1:16" hidden="1" x14ac:dyDescent="0.25">
      <c r="A72" s="50" t="s">
        <v>132</v>
      </c>
      <c r="B72" s="26" t="s">
        <v>133</v>
      </c>
      <c r="C72" s="26" t="s">
        <v>133</v>
      </c>
      <c r="D72" s="27" t="s">
        <v>133</v>
      </c>
      <c r="E72" s="28">
        <v>43374</v>
      </c>
      <c r="F72" s="29">
        <v>321.22000000000003</v>
      </c>
      <c r="G72" s="29">
        <v>-320.22000000000003</v>
      </c>
      <c r="H72" s="29">
        <v>1</v>
      </c>
      <c r="I72" s="29">
        <f t="shared" si="2"/>
        <v>88.340957262634902</v>
      </c>
      <c r="J72" s="29">
        <f t="shared" si="2"/>
        <v>-88.065940273460399</v>
      </c>
      <c r="K72" s="29">
        <f t="shared" si="2"/>
        <v>0.27501698917450623</v>
      </c>
      <c r="L72" s="9" t="s">
        <v>12</v>
      </c>
      <c r="M72" s="1" t="s">
        <v>59</v>
      </c>
      <c r="N72" s="1" t="s">
        <v>804</v>
      </c>
      <c r="O72" s="1" t="s">
        <v>799</v>
      </c>
    </row>
    <row r="73" spans="1:16" hidden="1" x14ac:dyDescent="0.25">
      <c r="A73" s="50" t="s">
        <v>134</v>
      </c>
      <c r="B73" s="26" t="s">
        <v>122</v>
      </c>
      <c r="C73" s="26" t="s">
        <v>122</v>
      </c>
      <c r="D73" s="27" t="s">
        <v>122</v>
      </c>
      <c r="E73" s="28">
        <v>43374</v>
      </c>
      <c r="F73" s="29">
        <v>6330.36</v>
      </c>
      <c r="G73" s="29">
        <v>-6329.36</v>
      </c>
      <c r="H73" s="29">
        <v>1</v>
      </c>
      <c r="I73" s="29">
        <f t="shared" si="2"/>
        <v>1740.9565475907273</v>
      </c>
      <c r="J73" s="29">
        <f t="shared" si="2"/>
        <v>-1740.6815306015528</v>
      </c>
      <c r="K73" s="29">
        <f t="shared" si="2"/>
        <v>0.27501698917450623</v>
      </c>
      <c r="L73" s="9" t="s">
        <v>12</v>
      </c>
      <c r="M73" s="1" t="s">
        <v>59</v>
      </c>
      <c r="N73" s="1" t="s">
        <v>804</v>
      </c>
      <c r="O73" s="1" t="s">
        <v>799</v>
      </c>
    </row>
    <row r="74" spans="1:16" hidden="1" x14ac:dyDescent="0.25">
      <c r="A74" s="50" t="s">
        <v>135</v>
      </c>
      <c r="B74" s="26" t="s">
        <v>109</v>
      </c>
      <c r="C74" s="26" t="s">
        <v>109</v>
      </c>
      <c r="D74" s="27" t="s">
        <v>109</v>
      </c>
      <c r="E74" s="28">
        <v>43374</v>
      </c>
      <c r="F74" s="29">
        <v>2797.8</v>
      </c>
      <c r="G74" s="29">
        <v>-2796.8</v>
      </c>
      <c r="H74" s="29">
        <v>1</v>
      </c>
      <c r="I74" s="29">
        <f t="shared" si="2"/>
        <v>769.44253231243363</v>
      </c>
      <c r="J74" s="29">
        <f t="shared" si="2"/>
        <v>-769.16751532325918</v>
      </c>
      <c r="K74" s="29">
        <f t="shared" si="2"/>
        <v>0.27501698917450623</v>
      </c>
      <c r="L74" s="9" t="s">
        <v>12</v>
      </c>
      <c r="M74" s="1" t="s">
        <v>59</v>
      </c>
      <c r="N74" s="1" t="s">
        <v>804</v>
      </c>
      <c r="O74" s="1" t="s">
        <v>802</v>
      </c>
    </row>
    <row r="75" spans="1:16" hidden="1" x14ac:dyDescent="0.25">
      <c r="A75" s="50" t="s">
        <v>136</v>
      </c>
      <c r="B75" s="26" t="s">
        <v>116</v>
      </c>
      <c r="C75" s="26" t="s">
        <v>116</v>
      </c>
      <c r="D75" s="27" t="s">
        <v>116</v>
      </c>
      <c r="E75" s="28">
        <v>43374</v>
      </c>
      <c r="F75" s="29">
        <v>125.41</v>
      </c>
      <c r="G75" s="29">
        <v>-124.41</v>
      </c>
      <c r="H75" s="29">
        <v>1</v>
      </c>
      <c r="I75" s="29">
        <f t="shared" si="2"/>
        <v>34.489880612374826</v>
      </c>
      <c r="J75" s="29">
        <f t="shared" si="2"/>
        <v>-34.214863623200323</v>
      </c>
      <c r="K75" s="29">
        <f t="shared" si="2"/>
        <v>0.27501698917450623</v>
      </c>
      <c r="L75" s="9" t="s">
        <v>12</v>
      </c>
      <c r="M75" s="1" t="s">
        <v>59</v>
      </c>
      <c r="N75" s="1" t="s">
        <v>804</v>
      </c>
      <c r="O75" s="1" t="s">
        <v>799</v>
      </c>
    </row>
    <row r="76" spans="1:16" hidden="1" x14ac:dyDescent="0.25">
      <c r="A76" s="50" t="s">
        <v>137</v>
      </c>
      <c r="B76" s="26" t="s">
        <v>116</v>
      </c>
      <c r="C76" s="26" t="s">
        <v>116</v>
      </c>
      <c r="D76" s="27" t="s">
        <v>116</v>
      </c>
      <c r="E76" s="28">
        <v>43374</v>
      </c>
      <c r="F76" s="29">
        <v>125.4</v>
      </c>
      <c r="G76" s="29">
        <v>-124.4</v>
      </c>
      <c r="H76" s="29">
        <v>1</v>
      </c>
      <c r="I76" s="29">
        <f t="shared" si="2"/>
        <v>34.487130442483085</v>
      </c>
      <c r="J76" s="29">
        <f t="shared" si="2"/>
        <v>-34.212113453308582</v>
      </c>
      <c r="K76" s="29">
        <f t="shared" si="2"/>
        <v>0.27501698917450623</v>
      </c>
      <c r="L76" s="9" t="s">
        <v>12</v>
      </c>
      <c r="M76" s="1" t="s">
        <v>59</v>
      </c>
      <c r="N76" s="1" t="s">
        <v>804</v>
      </c>
      <c r="O76" s="1" t="s">
        <v>799</v>
      </c>
    </row>
    <row r="77" spans="1:16" hidden="1" x14ac:dyDescent="0.25">
      <c r="A77" s="50" t="s">
        <v>138</v>
      </c>
      <c r="B77" s="26" t="s">
        <v>120</v>
      </c>
      <c r="C77" s="26" t="s">
        <v>120</v>
      </c>
      <c r="D77" s="27" t="s">
        <v>120</v>
      </c>
      <c r="E77" s="28">
        <v>43374</v>
      </c>
      <c r="F77" s="29">
        <v>269.17</v>
      </c>
      <c r="G77" s="29">
        <v>-268.17</v>
      </c>
      <c r="H77" s="29">
        <v>1</v>
      </c>
      <c r="I77" s="29">
        <f t="shared" si="2"/>
        <v>74.026322976101852</v>
      </c>
      <c r="J77" s="29">
        <f t="shared" si="2"/>
        <v>-73.751305986927349</v>
      </c>
      <c r="K77" s="29">
        <f t="shared" si="2"/>
        <v>0.27501698917450623</v>
      </c>
      <c r="L77" s="9" t="s">
        <v>12</v>
      </c>
      <c r="M77" s="1" t="s">
        <v>59</v>
      </c>
      <c r="N77" s="1" t="s">
        <v>804</v>
      </c>
      <c r="O77" s="1" t="s">
        <v>799</v>
      </c>
    </row>
    <row r="78" spans="1:16" hidden="1" x14ac:dyDescent="0.25">
      <c r="A78" s="50" t="s">
        <v>139</v>
      </c>
      <c r="B78" s="26" t="s">
        <v>122</v>
      </c>
      <c r="C78" s="26" t="s">
        <v>122</v>
      </c>
      <c r="D78" s="27" t="s">
        <v>122</v>
      </c>
      <c r="E78" s="28">
        <v>43374</v>
      </c>
      <c r="F78" s="29">
        <v>6330.36</v>
      </c>
      <c r="G78" s="29">
        <v>-6329.36</v>
      </c>
      <c r="H78" s="29">
        <v>1</v>
      </c>
      <c r="I78" s="29">
        <f t="shared" si="2"/>
        <v>1740.9565475907273</v>
      </c>
      <c r="J78" s="29">
        <f t="shared" si="2"/>
        <v>-1740.6815306015528</v>
      </c>
      <c r="K78" s="29">
        <f t="shared" si="2"/>
        <v>0.27501698917450623</v>
      </c>
      <c r="L78" s="9" t="s">
        <v>12</v>
      </c>
      <c r="M78" s="1" t="s">
        <v>59</v>
      </c>
      <c r="N78" s="1" t="s">
        <v>804</v>
      </c>
      <c r="O78" s="1" t="s">
        <v>799</v>
      </c>
    </row>
    <row r="79" spans="1:16" hidden="1" x14ac:dyDescent="0.25">
      <c r="A79" s="50" t="s">
        <v>140</v>
      </c>
      <c r="B79" s="26" t="s">
        <v>141</v>
      </c>
      <c r="C79" s="26" t="s">
        <v>141</v>
      </c>
      <c r="D79" s="27" t="s">
        <v>141</v>
      </c>
      <c r="E79" s="28">
        <v>43374</v>
      </c>
      <c r="F79" s="29">
        <v>2602.84</v>
      </c>
      <c r="G79" s="29">
        <v>-2601.84</v>
      </c>
      <c r="H79" s="29">
        <v>1</v>
      </c>
      <c r="I79" s="29">
        <f t="shared" si="2"/>
        <v>715.82522010297191</v>
      </c>
      <c r="J79" s="29">
        <f t="shared" si="2"/>
        <v>-715.55020311379735</v>
      </c>
      <c r="K79" s="29">
        <f t="shared" si="2"/>
        <v>0.27501698917450623</v>
      </c>
      <c r="L79" s="9" t="s">
        <v>12</v>
      </c>
      <c r="M79" s="1" t="s">
        <v>59</v>
      </c>
      <c r="N79" s="1" t="s">
        <v>804</v>
      </c>
      <c r="O79" s="1" t="s">
        <v>802</v>
      </c>
    </row>
    <row r="80" spans="1:16" hidden="1" x14ac:dyDescent="0.25">
      <c r="A80" s="50" t="s">
        <v>142</v>
      </c>
      <c r="B80" s="26" t="s">
        <v>94</v>
      </c>
      <c r="C80" s="26" t="s">
        <v>94</v>
      </c>
      <c r="D80" s="27" t="s">
        <v>94</v>
      </c>
      <c r="E80" s="28">
        <v>43374</v>
      </c>
      <c r="F80" s="29">
        <v>71921.179999999993</v>
      </c>
      <c r="G80" s="29">
        <v>-71920.179999999993</v>
      </c>
      <c r="H80" s="29">
        <v>1</v>
      </c>
      <c r="I80" s="29">
        <f t="shared" si="2"/>
        <v>19779.546381477714</v>
      </c>
      <c r="J80" s="29">
        <f t="shared" si="2"/>
        <v>-19779.271364488541</v>
      </c>
      <c r="K80" s="29">
        <f t="shared" si="2"/>
        <v>0.27501698917450623</v>
      </c>
      <c r="L80" s="9" t="s">
        <v>12</v>
      </c>
      <c r="M80" s="1" t="s">
        <v>59</v>
      </c>
      <c r="N80" s="1" t="s">
        <v>804</v>
      </c>
      <c r="O80" s="1" t="s">
        <v>802</v>
      </c>
    </row>
    <row r="81" spans="1:16" hidden="1" x14ac:dyDescent="0.25">
      <c r="A81" s="50" t="s">
        <v>143</v>
      </c>
      <c r="B81" s="26" t="s">
        <v>144</v>
      </c>
      <c r="C81" s="26" t="s">
        <v>144</v>
      </c>
      <c r="D81" s="27" t="s">
        <v>144</v>
      </c>
      <c r="E81" s="28">
        <v>43556</v>
      </c>
      <c r="F81" s="29">
        <v>8181.31</v>
      </c>
      <c r="G81" s="29">
        <v>-8180.31</v>
      </c>
      <c r="H81" s="29">
        <v>1</v>
      </c>
      <c r="I81" s="29">
        <f t="shared" si="2"/>
        <v>2249.9992437032797</v>
      </c>
      <c r="J81" s="29">
        <f t="shared" si="2"/>
        <v>-2249.7242267141055</v>
      </c>
      <c r="K81" s="29">
        <f t="shared" si="2"/>
        <v>0.27501698917450623</v>
      </c>
      <c r="L81" s="9" t="s">
        <v>12</v>
      </c>
      <c r="M81" s="1" t="s">
        <v>59</v>
      </c>
      <c r="N81" s="1" t="s">
        <v>804</v>
      </c>
      <c r="O81" s="1" t="s">
        <v>801</v>
      </c>
    </row>
    <row r="82" spans="1:16" hidden="1" x14ac:dyDescent="0.25">
      <c r="A82" s="50" t="s">
        <v>145</v>
      </c>
      <c r="B82" s="26" t="s">
        <v>146</v>
      </c>
      <c r="C82" s="26" t="s">
        <v>146</v>
      </c>
      <c r="D82" s="27" t="s">
        <v>146</v>
      </c>
      <c r="E82" s="28">
        <v>43556</v>
      </c>
      <c r="F82" s="29">
        <v>7254.1</v>
      </c>
      <c r="G82" s="29">
        <v>-7253.1</v>
      </c>
      <c r="H82" s="29">
        <v>1</v>
      </c>
      <c r="I82" s="29">
        <f t="shared" si="2"/>
        <v>1995.0007411707859</v>
      </c>
      <c r="J82" s="29">
        <f t="shared" si="2"/>
        <v>-1994.7257241816114</v>
      </c>
      <c r="K82" s="29">
        <f t="shared" si="2"/>
        <v>0.27501698917450623</v>
      </c>
      <c r="L82" s="9" t="s">
        <v>12</v>
      </c>
      <c r="M82" s="1" t="s">
        <v>59</v>
      </c>
      <c r="N82" s="1" t="s">
        <v>804</v>
      </c>
      <c r="O82" s="1" t="s">
        <v>801</v>
      </c>
    </row>
    <row r="83" spans="1:16" hidden="1" x14ac:dyDescent="0.25">
      <c r="A83" s="50" t="s">
        <v>147</v>
      </c>
      <c r="B83" s="26" t="s">
        <v>146</v>
      </c>
      <c r="C83" s="26" t="s">
        <v>146</v>
      </c>
      <c r="D83" s="27" t="s">
        <v>146</v>
      </c>
      <c r="E83" s="28">
        <v>43556</v>
      </c>
      <c r="F83" s="29">
        <v>9635.77</v>
      </c>
      <c r="G83" s="29">
        <v>-9634.77</v>
      </c>
      <c r="H83" s="29">
        <v>1</v>
      </c>
      <c r="I83" s="29">
        <f t="shared" si="2"/>
        <v>2650.0004537780324</v>
      </c>
      <c r="J83" s="29">
        <f t="shared" si="2"/>
        <v>-2649.7254367888577</v>
      </c>
      <c r="K83" s="29">
        <f t="shared" si="2"/>
        <v>0.27501698917450623</v>
      </c>
      <c r="L83" s="9" t="s">
        <v>12</v>
      </c>
      <c r="M83" s="1" t="s">
        <v>59</v>
      </c>
      <c r="N83" s="1" t="s">
        <v>804</v>
      </c>
      <c r="O83" s="1" t="s">
        <v>801</v>
      </c>
    </row>
    <row r="84" spans="1:16" hidden="1" x14ac:dyDescent="0.25">
      <c r="A84" s="50" t="s">
        <v>148</v>
      </c>
      <c r="B84" s="26" t="s">
        <v>144</v>
      </c>
      <c r="C84" s="26" t="s">
        <v>144</v>
      </c>
      <c r="D84" s="27" t="s">
        <v>144</v>
      </c>
      <c r="E84" s="28">
        <v>43556</v>
      </c>
      <c r="F84" s="29">
        <v>4454.2700000000004</v>
      </c>
      <c r="G84" s="29">
        <v>-4453.2700000000004</v>
      </c>
      <c r="H84" s="29">
        <v>1</v>
      </c>
      <c r="I84" s="29">
        <f t="shared" si="2"/>
        <v>1224.999924370328</v>
      </c>
      <c r="J84" s="29">
        <f t="shared" si="2"/>
        <v>-1224.7249073811536</v>
      </c>
      <c r="K84" s="29">
        <f t="shared" si="2"/>
        <v>0.27501698917450623</v>
      </c>
      <c r="L84" s="9" t="s">
        <v>12</v>
      </c>
      <c r="M84" s="1" t="s">
        <v>59</v>
      </c>
      <c r="N84" s="1" t="s">
        <v>800</v>
      </c>
      <c r="O84" s="1" t="s">
        <v>801</v>
      </c>
    </row>
    <row r="85" spans="1:16" hidden="1" x14ac:dyDescent="0.25">
      <c r="A85" s="50" t="s">
        <v>149</v>
      </c>
      <c r="B85" s="26" t="s">
        <v>150</v>
      </c>
      <c r="C85" s="26" t="s">
        <v>150</v>
      </c>
      <c r="D85" s="27" t="s">
        <v>150</v>
      </c>
      <c r="E85" s="28">
        <v>43556</v>
      </c>
      <c r="F85" s="29">
        <v>8933.82</v>
      </c>
      <c r="G85" s="29">
        <v>-8932.82</v>
      </c>
      <c r="H85" s="29">
        <v>1</v>
      </c>
      <c r="I85" s="29">
        <f t="shared" si="2"/>
        <v>2456.9522782269873</v>
      </c>
      <c r="J85" s="29">
        <f t="shared" si="2"/>
        <v>-2456.6772612378127</v>
      </c>
      <c r="K85" s="29">
        <f t="shared" si="2"/>
        <v>0.27501698917450623</v>
      </c>
      <c r="L85" s="9" t="s">
        <v>12</v>
      </c>
      <c r="M85" s="1" t="s">
        <v>59</v>
      </c>
      <c r="N85" s="1" t="s">
        <v>800</v>
      </c>
      <c r="O85" s="1" t="s">
        <v>799</v>
      </c>
    </row>
    <row r="86" spans="1:16" hidden="1" x14ac:dyDescent="0.25">
      <c r="A86" s="50" t="s">
        <v>151</v>
      </c>
      <c r="B86" s="26" t="s">
        <v>152</v>
      </c>
      <c r="C86" s="26" t="s">
        <v>152</v>
      </c>
      <c r="D86" s="27" t="s">
        <v>152</v>
      </c>
      <c r="E86" s="28">
        <v>43556</v>
      </c>
      <c r="F86" s="29">
        <v>6599.59</v>
      </c>
      <c r="G86" s="29">
        <v>-6598.59</v>
      </c>
      <c r="H86" s="29">
        <v>1</v>
      </c>
      <c r="I86" s="29">
        <f t="shared" si="2"/>
        <v>1814.9993715861797</v>
      </c>
      <c r="J86" s="29">
        <f t="shared" si="2"/>
        <v>-1814.7243545970052</v>
      </c>
      <c r="K86" s="29">
        <f t="shared" si="2"/>
        <v>0.27501698917450623</v>
      </c>
      <c r="L86" s="9" t="s">
        <v>12</v>
      </c>
      <c r="M86" s="1" t="s">
        <v>59</v>
      </c>
      <c r="N86" s="1" t="s">
        <v>800</v>
      </c>
      <c r="O86" s="1" t="s">
        <v>799</v>
      </c>
    </row>
    <row r="87" spans="1:16" hidden="1" x14ac:dyDescent="0.25">
      <c r="A87" s="50" t="s">
        <v>153</v>
      </c>
      <c r="B87" s="26" t="s">
        <v>154</v>
      </c>
      <c r="C87" s="26" t="s">
        <v>154</v>
      </c>
      <c r="D87" s="27" t="s">
        <v>154</v>
      </c>
      <c r="E87" s="28">
        <v>43556</v>
      </c>
      <c r="F87" s="29">
        <v>3456.14</v>
      </c>
      <c r="G87" s="29">
        <v>-3455.14</v>
      </c>
      <c r="H87" s="29">
        <v>1</v>
      </c>
      <c r="I87" s="29">
        <f t="shared" si="2"/>
        <v>950.49721696557799</v>
      </c>
      <c r="J87" s="29">
        <f t="shared" si="2"/>
        <v>-950.22219997640354</v>
      </c>
      <c r="K87" s="29">
        <f t="shared" si="2"/>
        <v>0.27501698917450623</v>
      </c>
      <c r="L87" s="9" t="s">
        <v>12</v>
      </c>
      <c r="M87" s="1" t="s">
        <v>59</v>
      </c>
      <c r="N87" s="1" t="s">
        <v>800</v>
      </c>
      <c r="O87" s="1" t="s">
        <v>802</v>
      </c>
    </row>
    <row r="88" spans="1:16" hidden="1" x14ac:dyDescent="0.25">
      <c r="A88" s="50" t="s">
        <v>155</v>
      </c>
      <c r="B88" s="26" t="s">
        <v>156</v>
      </c>
      <c r="C88" s="26" t="s">
        <v>156</v>
      </c>
      <c r="D88" s="27" t="s">
        <v>156</v>
      </c>
      <c r="E88" s="28">
        <v>43562</v>
      </c>
      <c r="F88" s="29">
        <v>79526.78</v>
      </c>
      <c r="G88" s="29">
        <v>-79525.78</v>
      </c>
      <c r="H88" s="29">
        <v>1</v>
      </c>
      <c r="I88" s="29">
        <f t="shared" si="2"/>
        <v>21871.215594343339</v>
      </c>
      <c r="J88" s="29">
        <f t="shared" si="2"/>
        <v>-21870.940577354166</v>
      </c>
      <c r="K88" s="29">
        <f t="shared" si="2"/>
        <v>0.27501698917450623</v>
      </c>
      <c r="L88" s="9" t="s">
        <v>12</v>
      </c>
      <c r="M88" s="1" t="s">
        <v>59</v>
      </c>
      <c r="N88" s="1" t="s">
        <v>800</v>
      </c>
      <c r="O88" s="1" t="s">
        <v>802</v>
      </c>
    </row>
    <row r="89" spans="1:16" s="35" customFormat="1" hidden="1" x14ac:dyDescent="0.25">
      <c r="A89" s="52" t="s">
        <v>157</v>
      </c>
      <c r="B89" s="30" t="s">
        <v>158</v>
      </c>
      <c r="C89" s="30" t="s">
        <v>158</v>
      </c>
      <c r="D89" s="31" t="s">
        <v>158</v>
      </c>
      <c r="E89" s="32">
        <v>43556</v>
      </c>
      <c r="F89" s="33">
        <v>51764.15</v>
      </c>
      <c r="G89" s="33">
        <v>-51763.15</v>
      </c>
      <c r="H89" s="33">
        <v>1</v>
      </c>
      <c r="I89" s="33">
        <f t="shared" si="2"/>
        <v>14236.020680177518</v>
      </c>
      <c r="J89" s="33">
        <f t="shared" si="2"/>
        <v>-14235.745663188343</v>
      </c>
      <c r="K89" s="33">
        <f t="shared" si="2"/>
        <v>0.27501698917450623</v>
      </c>
      <c r="L89" s="34" t="s">
        <v>12</v>
      </c>
      <c r="M89" s="35" t="s">
        <v>59</v>
      </c>
      <c r="N89" s="1" t="s">
        <v>800</v>
      </c>
      <c r="O89" s="1" t="s">
        <v>801</v>
      </c>
    </row>
    <row r="90" spans="1:16" hidden="1" x14ac:dyDescent="0.25">
      <c r="A90" s="50" t="s">
        <v>159</v>
      </c>
      <c r="B90" s="26" t="s">
        <v>160</v>
      </c>
      <c r="C90" s="26" t="s">
        <v>160</v>
      </c>
      <c r="D90" s="27" t="s">
        <v>160</v>
      </c>
      <c r="E90" s="28">
        <v>43556</v>
      </c>
      <c r="F90" s="29">
        <v>13773.55</v>
      </c>
      <c r="G90" s="29">
        <v>-13772.55</v>
      </c>
      <c r="H90" s="29">
        <v>1</v>
      </c>
      <c r="I90" s="29">
        <f t="shared" si="2"/>
        <v>3787.9602512445204</v>
      </c>
      <c r="J90" s="29">
        <f t="shared" si="2"/>
        <v>-3787.6852342553461</v>
      </c>
      <c r="K90" s="29">
        <f t="shared" si="2"/>
        <v>0.27501698917450623</v>
      </c>
      <c r="L90" s="9" t="s">
        <v>12</v>
      </c>
      <c r="M90" s="1" t="s">
        <v>59</v>
      </c>
      <c r="N90" s="1" t="s">
        <v>800</v>
      </c>
      <c r="O90" s="1" t="s">
        <v>799</v>
      </c>
    </row>
    <row r="91" spans="1:16" hidden="1" x14ac:dyDescent="0.25">
      <c r="A91" s="50" t="s">
        <v>161</v>
      </c>
      <c r="B91" s="26" t="s">
        <v>162</v>
      </c>
      <c r="C91" s="26" t="s">
        <v>162</v>
      </c>
      <c r="D91" s="27" t="s">
        <v>162</v>
      </c>
      <c r="E91" s="28">
        <v>43556</v>
      </c>
      <c r="F91" s="29">
        <v>3150</v>
      </c>
      <c r="G91" s="29">
        <v>-3149</v>
      </c>
      <c r="H91" s="29">
        <v>1</v>
      </c>
      <c r="I91" s="29">
        <f t="shared" si="2"/>
        <v>866.30351589969473</v>
      </c>
      <c r="J91" s="29">
        <f t="shared" si="2"/>
        <v>-866.02849891052017</v>
      </c>
      <c r="K91" s="29">
        <f t="shared" si="2"/>
        <v>0.27501698917450623</v>
      </c>
      <c r="L91" s="9" t="s">
        <v>12</v>
      </c>
      <c r="M91" s="1" t="s">
        <v>59</v>
      </c>
      <c r="N91" s="1" t="s">
        <v>800</v>
      </c>
      <c r="O91" s="1" t="s">
        <v>799</v>
      </c>
    </row>
    <row r="92" spans="1:16" s="41" customFormat="1" x14ac:dyDescent="0.25">
      <c r="A92" s="51" t="s">
        <v>163</v>
      </c>
      <c r="B92" s="36" t="s">
        <v>164</v>
      </c>
      <c r="C92" s="36" t="s">
        <v>164</v>
      </c>
      <c r="D92" s="37" t="s">
        <v>164</v>
      </c>
      <c r="E92" s="38">
        <v>43556</v>
      </c>
      <c r="F92" s="39">
        <v>8560.1299999999992</v>
      </c>
      <c r="G92" s="39">
        <v>-8559.1299999999992</v>
      </c>
      <c r="H92" s="39">
        <v>1</v>
      </c>
      <c r="I92" s="39">
        <f t="shared" si="2"/>
        <v>2354.181179542366</v>
      </c>
      <c r="J92" s="39">
        <f t="shared" si="2"/>
        <v>-2353.9061625531913</v>
      </c>
      <c r="K92" s="39">
        <f t="shared" si="2"/>
        <v>0.27501698917450623</v>
      </c>
      <c r="L92" s="40" t="s">
        <v>12</v>
      </c>
      <c r="M92" s="41" t="s">
        <v>59</v>
      </c>
      <c r="N92" s="41" t="s">
        <v>790</v>
      </c>
      <c r="P92" s="8">
        <v>1</v>
      </c>
    </row>
    <row r="93" spans="1:16" s="35" customFormat="1" hidden="1" x14ac:dyDescent="0.25">
      <c r="A93" s="52" t="s">
        <v>165</v>
      </c>
      <c r="B93" s="30" t="s">
        <v>166</v>
      </c>
      <c r="C93" s="30" t="s">
        <v>166</v>
      </c>
      <c r="D93" s="31" t="s">
        <v>166</v>
      </c>
      <c r="E93" s="32">
        <v>43647</v>
      </c>
      <c r="F93" s="33">
        <v>178062.86</v>
      </c>
      <c r="G93" s="33">
        <v>-178061.86</v>
      </c>
      <c r="H93" s="33">
        <v>1</v>
      </c>
      <c r="I93" s="33">
        <f t="shared" si="2"/>
        <v>48970.311641001615</v>
      </c>
      <c r="J93" s="33">
        <f t="shared" si="2"/>
        <v>-48970.036624012442</v>
      </c>
      <c r="K93" s="33">
        <f t="shared" si="2"/>
        <v>0.27501698917450623</v>
      </c>
      <c r="L93" s="34" t="s">
        <v>12</v>
      </c>
      <c r="M93" s="35" t="s">
        <v>59</v>
      </c>
      <c r="N93" s="1" t="s">
        <v>804</v>
      </c>
      <c r="O93" s="35" t="s">
        <v>797</v>
      </c>
    </row>
    <row r="94" spans="1:16" hidden="1" x14ac:dyDescent="0.25">
      <c r="A94" s="50" t="s">
        <v>167</v>
      </c>
      <c r="B94" s="26" t="s">
        <v>168</v>
      </c>
      <c r="C94" s="26" t="s">
        <v>168</v>
      </c>
      <c r="D94" s="27" t="s">
        <v>168</v>
      </c>
      <c r="E94" s="28">
        <v>43647</v>
      </c>
      <c r="F94" s="29">
        <v>41197.449999999997</v>
      </c>
      <c r="G94" s="29">
        <v>-41196.449999999997</v>
      </c>
      <c r="H94" s="29">
        <v>1</v>
      </c>
      <c r="I94" s="29">
        <f t="shared" si="2"/>
        <v>11329.998660667261</v>
      </c>
      <c r="J94" s="29">
        <f t="shared" si="2"/>
        <v>-11329.723643678088</v>
      </c>
      <c r="K94" s="29">
        <f t="shared" si="2"/>
        <v>0.27501698917450623</v>
      </c>
      <c r="L94" s="9" t="s">
        <v>12</v>
      </c>
      <c r="M94" s="1" t="s">
        <v>59</v>
      </c>
      <c r="N94" s="1" t="s">
        <v>804</v>
      </c>
      <c r="O94" s="1" t="s">
        <v>802</v>
      </c>
    </row>
    <row r="95" spans="1:16" s="35" customFormat="1" hidden="1" x14ac:dyDescent="0.25">
      <c r="A95" s="52" t="s">
        <v>169</v>
      </c>
      <c r="B95" s="30" t="s">
        <v>170</v>
      </c>
      <c r="C95" s="30" t="s">
        <v>170</v>
      </c>
      <c r="D95" s="31" t="s">
        <v>170</v>
      </c>
      <c r="E95" s="32">
        <v>43647</v>
      </c>
      <c r="F95" s="33">
        <v>50287.8</v>
      </c>
      <c r="G95" s="33">
        <v>-50286.8</v>
      </c>
      <c r="H95" s="33">
        <v>1</v>
      </c>
      <c r="I95" s="33">
        <f t="shared" si="2"/>
        <v>13829.999348209736</v>
      </c>
      <c r="J95" s="33">
        <f t="shared" si="2"/>
        <v>-13829.724331220563</v>
      </c>
      <c r="K95" s="33">
        <f t="shared" si="2"/>
        <v>0.27501698917450623</v>
      </c>
      <c r="L95" s="34" t="s">
        <v>12</v>
      </c>
      <c r="M95" s="35" t="s">
        <v>59</v>
      </c>
      <c r="N95" s="1" t="s">
        <v>804</v>
      </c>
      <c r="O95" s="1" t="s">
        <v>802</v>
      </c>
    </row>
    <row r="96" spans="1:16" hidden="1" x14ac:dyDescent="0.25">
      <c r="A96" s="50" t="s">
        <v>171</v>
      </c>
      <c r="B96" s="26" t="s">
        <v>172</v>
      </c>
      <c r="C96" s="26" t="s">
        <v>172</v>
      </c>
      <c r="D96" s="27" t="s">
        <v>172</v>
      </c>
      <c r="E96" s="28">
        <v>43647</v>
      </c>
      <c r="F96" s="29">
        <v>42269.3</v>
      </c>
      <c r="G96" s="29">
        <v>-42268.3</v>
      </c>
      <c r="H96" s="29">
        <v>1</v>
      </c>
      <c r="I96" s="29">
        <f t="shared" si="2"/>
        <v>11624.775620513958</v>
      </c>
      <c r="J96" s="29">
        <f t="shared" si="2"/>
        <v>-11624.500603524784</v>
      </c>
      <c r="K96" s="29">
        <f t="shared" si="2"/>
        <v>0.27501698917450623</v>
      </c>
      <c r="L96" s="9" t="s">
        <v>12</v>
      </c>
      <c r="M96" s="1" t="s">
        <v>59</v>
      </c>
      <c r="N96" s="1" t="s">
        <v>804</v>
      </c>
      <c r="O96" s="1" t="s">
        <v>802</v>
      </c>
    </row>
    <row r="97" spans="1:15" s="35" customFormat="1" hidden="1" x14ac:dyDescent="0.25">
      <c r="A97" s="52" t="s">
        <v>173</v>
      </c>
      <c r="B97" s="30" t="s">
        <v>174</v>
      </c>
      <c r="C97" s="30" t="s">
        <v>174</v>
      </c>
      <c r="D97" s="31" t="s">
        <v>174</v>
      </c>
      <c r="E97" s="32">
        <v>43647</v>
      </c>
      <c r="F97" s="33">
        <v>44833.59</v>
      </c>
      <c r="G97" s="33">
        <v>-44832.59</v>
      </c>
      <c r="H97" s="33">
        <v>1</v>
      </c>
      <c r="I97" s="33">
        <f t="shared" si="2"/>
        <v>12329.998935684251</v>
      </c>
      <c r="J97" s="33">
        <f t="shared" si="2"/>
        <v>-12329.723918695076</v>
      </c>
      <c r="K97" s="33">
        <f t="shared" si="2"/>
        <v>0.27501698917450623</v>
      </c>
      <c r="L97" s="34" t="s">
        <v>12</v>
      </c>
      <c r="M97" s="35" t="s">
        <v>59</v>
      </c>
      <c r="N97" s="1" t="s">
        <v>804</v>
      </c>
      <c r="O97" s="1" t="s">
        <v>802</v>
      </c>
    </row>
    <row r="98" spans="1:15" s="35" customFormat="1" hidden="1" x14ac:dyDescent="0.25">
      <c r="A98" s="52" t="s">
        <v>175</v>
      </c>
      <c r="B98" s="30" t="s">
        <v>176</v>
      </c>
      <c r="C98" s="30" t="s">
        <v>176</v>
      </c>
      <c r="D98" s="31" t="s">
        <v>176</v>
      </c>
      <c r="E98" s="32">
        <v>43647</v>
      </c>
      <c r="F98" s="33">
        <v>144832.45000000001</v>
      </c>
      <c r="G98" s="33">
        <v>-144831.45000000001</v>
      </c>
      <c r="H98" s="33">
        <v>1</v>
      </c>
      <c r="I98" s="33">
        <f t="shared" si="2"/>
        <v>39831.384333767222</v>
      </c>
      <c r="J98" s="33">
        <f t="shared" si="2"/>
        <v>-39831.109316778049</v>
      </c>
      <c r="K98" s="33">
        <f t="shared" si="2"/>
        <v>0.27501698917450623</v>
      </c>
      <c r="L98" s="34" t="s">
        <v>12</v>
      </c>
      <c r="M98" s="35" t="s">
        <v>59</v>
      </c>
      <c r="N98" s="1" t="s">
        <v>804</v>
      </c>
      <c r="O98" s="1" t="s">
        <v>801</v>
      </c>
    </row>
    <row r="99" spans="1:15" s="35" customFormat="1" hidden="1" x14ac:dyDescent="0.25">
      <c r="A99" s="52" t="s">
        <v>177</v>
      </c>
      <c r="B99" s="30" t="s">
        <v>172</v>
      </c>
      <c r="C99" s="30" t="s">
        <v>172</v>
      </c>
      <c r="D99" s="31" t="s">
        <v>172</v>
      </c>
      <c r="E99" s="32">
        <v>43647</v>
      </c>
      <c r="F99" s="33">
        <v>42268.29</v>
      </c>
      <c r="G99" s="33">
        <v>-42267.29</v>
      </c>
      <c r="H99" s="33">
        <v>1</v>
      </c>
      <c r="I99" s="33">
        <f t="shared" si="2"/>
        <v>11624.497853354891</v>
      </c>
      <c r="J99" s="33">
        <f t="shared" si="2"/>
        <v>-11624.222836365716</v>
      </c>
      <c r="K99" s="33">
        <f t="shared" si="2"/>
        <v>0.27501698917450623</v>
      </c>
      <c r="L99" s="34" t="s">
        <v>12</v>
      </c>
      <c r="M99" s="35" t="s">
        <v>59</v>
      </c>
      <c r="N99" s="1" t="s">
        <v>804</v>
      </c>
      <c r="O99" s="1" t="s">
        <v>802</v>
      </c>
    </row>
    <row r="100" spans="1:15" s="35" customFormat="1" hidden="1" x14ac:dyDescent="0.25">
      <c r="A100" s="52" t="s">
        <v>178</v>
      </c>
      <c r="B100" s="30" t="s">
        <v>179</v>
      </c>
      <c r="C100" s="30" t="s">
        <v>179</v>
      </c>
      <c r="D100" s="31" t="s">
        <v>179</v>
      </c>
      <c r="E100" s="32">
        <v>43708</v>
      </c>
      <c r="F100" s="33">
        <v>243159.34</v>
      </c>
      <c r="G100" s="33">
        <v>-243158.34</v>
      </c>
      <c r="H100" s="33">
        <v>1</v>
      </c>
      <c r="I100" s="33">
        <f t="shared" si="2"/>
        <v>66872.949576460087</v>
      </c>
      <c r="J100" s="33">
        <f t="shared" si="2"/>
        <v>-66872.674559470906</v>
      </c>
      <c r="K100" s="33">
        <f t="shared" si="2"/>
        <v>0.27501698917450623</v>
      </c>
      <c r="L100" s="34" t="s">
        <v>12</v>
      </c>
      <c r="M100" s="35" t="s">
        <v>59</v>
      </c>
      <c r="N100" s="1" t="s">
        <v>804</v>
      </c>
      <c r="O100" s="1" t="s">
        <v>802</v>
      </c>
    </row>
    <row r="101" spans="1:15" s="35" customFormat="1" hidden="1" x14ac:dyDescent="0.25">
      <c r="A101" s="52" t="s">
        <v>180</v>
      </c>
      <c r="B101" s="30" t="s">
        <v>181</v>
      </c>
      <c r="C101" s="30" t="s">
        <v>181</v>
      </c>
      <c r="D101" s="31" t="s">
        <v>181</v>
      </c>
      <c r="E101" s="32">
        <v>43708</v>
      </c>
      <c r="F101" s="33">
        <v>3073.67</v>
      </c>
      <c r="G101" s="33">
        <v>-3072.67</v>
      </c>
      <c r="H101" s="33">
        <v>1</v>
      </c>
      <c r="I101" s="33">
        <f t="shared" si="2"/>
        <v>845.31146911600467</v>
      </c>
      <c r="J101" s="33">
        <f t="shared" si="2"/>
        <v>-845.03645212683011</v>
      </c>
      <c r="K101" s="33">
        <f t="shared" si="2"/>
        <v>0.27501698917450623</v>
      </c>
      <c r="L101" s="34" t="s">
        <v>12</v>
      </c>
      <c r="M101" s="35" t="s">
        <v>59</v>
      </c>
      <c r="N101" s="1" t="s">
        <v>804</v>
      </c>
      <c r="O101" s="1" t="s">
        <v>801</v>
      </c>
    </row>
    <row r="102" spans="1:15" s="35" customFormat="1" hidden="1" x14ac:dyDescent="0.25">
      <c r="A102" s="52" t="s">
        <v>182</v>
      </c>
      <c r="B102" s="30" t="s">
        <v>181</v>
      </c>
      <c r="C102" s="30" t="s">
        <v>181</v>
      </c>
      <c r="D102" s="31" t="s">
        <v>181</v>
      </c>
      <c r="E102" s="32">
        <v>43708</v>
      </c>
      <c r="F102" s="33">
        <v>3073.66</v>
      </c>
      <c r="G102" s="33">
        <v>-3072.66</v>
      </c>
      <c r="H102" s="33">
        <v>1</v>
      </c>
      <c r="I102" s="33">
        <f t="shared" si="2"/>
        <v>845.30871894611289</v>
      </c>
      <c r="J102" s="33">
        <f t="shared" si="2"/>
        <v>-845.03370195693833</v>
      </c>
      <c r="K102" s="33">
        <f t="shared" si="2"/>
        <v>0.27501698917450623</v>
      </c>
      <c r="L102" s="34" t="s">
        <v>12</v>
      </c>
      <c r="M102" s="35" t="s">
        <v>59</v>
      </c>
      <c r="N102" s="1" t="s">
        <v>804</v>
      </c>
      <c r="O102" s="1" t="s">
        <v>801</v>
      </c>
    </row>
    <row r="103" spans="1:15" s="35" customFormat="1" hidden="1" x14ac:dyDescent="0.25">
      <c r="A103" s="52" t="s">
        <v>183</v>
      </c>
      <c r="B103" s="30" t="s">
        <v>184</v>
      </c>
      <c r="C103" s="30" t="s">
        <v>184</v>
      </c>
      <c r="D103" s="31" t="s">
        <v>184</v>
      </c>
      <c r="E103" s="32">
        <v>43708</v>
      </c>
      <c r="F103" s="33">
        <v>2815.88</v>
      </c>
      <c r="G103" s="33">
        <v>-2814.88</v>
      </c>
      <c r="H103" s="33">
        <v>1</v>
      </c>
      <c r="I103" s="33">
        <f t="shared" si="2"/>
        <v>774.41483947670872</v>
      </c>
      <c r="J103" s="33">
        <f t="shared" si="2"/>
        <v>-774.13982248753416</v>
      </c>
      <c r="K103" s="33">
        <f t="shared" si="2"/>
        <v>0.27501698917450623</v>
      </c>
      <c r="L103" s="34" t="s">
        <v>12</v>
      </c>
      <c r="M103" s="35" t="s">
        <v>59</v>
      </c>
      <c r="N103" s="1" t="s">
        <v>804</v>
      </c>
      <c r="O103" s="1" t="s">
        <v>801</v>
      </c>
    </row>
    <row r="104" spans="1:15" s="35" customFormat="1" hidden="1" x14ac:dyDescent="0.25">
      <c r="A104" s="52" t="s">
        <v>185</v>
      </c>
      <c r="B104" s="30" t="s">
        <v>184</v>
      </c>
      <c r="C104" s="30" t="s">
        <v>184</v>
      </c>
      <c r="D104" s="31" t="s">
        <v>184</v>
      </c>
      <c r="E104" s="32">
        <v>43708</v>
      </c>
      <c r="F104" s="33">
        <v>2815.87</v>
      </c>
      <c r="G104" s="33">
        <v>-2814.87</v>
      </c>
      <c r="H104" s="33">
        <v>1</v>
      </c>
      <c r="I104" s="33">
        <f t="shared" si="2"/>
        <v>774.41208930681694</v>
      </c>
      <c r="J104" s="33">
        <f t="shared" si="2"/>
        <v>-774.13707231764238</v>
      </c>
      <c r="K104" s="33">
        <f t="shared" si="2"/>
        <v>0.27501698917450623</v>
      </c>
      <c r="L104" s="34" t="s">
        <v>12</v>
      </c>
      <c r="M104" s="35" t="s">
        <v>59</v>
      </c>
      <c r="N104" s="1" t="s">
        <v>804</v>
      </c>
      <c r="O104" s="1" t="s">
        <v>801</v>
      </c>
    </row>
    <row r="105" spans="1:15" s="35" customFormat="1" hidden="1" x14ac:dyDescent="0.25">
      <c r="A105" s="52" t="s">
        <v>186</v>
      </c>
      <c r="B105" s="30" t="s">
        <v>187</v>
      </c>
      <c r="C105" s="30" t="s">
        <v>187</v>
      </c>
      <c r="D105" s="31" t="s">
        <v>187</v>
      </c>
      <c r="E105" s="32">
        <v>43708</v>
      </c>
      <c r="F105" s="33">
        <v>1665.73</v>
      </c>
      <c r="G105" s="33">
        <v>-1664.73</v>
      </c>
      <c r="H105" s="33">
        <v>1</v>
      </c>
      <c r="I105" s="33">
        <f t="shared" si="2"/>
        <v>458.10404937765031</v>
      </c>
      <c r="J105" s="33">
        <f t="shared" si="2"/>
        <v>-457.82903238847581</v>
      </c>
      <c r="K105" s="33">
        <f t="shared" si="2"/>
        <v>0.27501698917450623</v>
      </c>
      <c r="L105" s="34" t="s">
        <v>12</v>
      </c>
      <c r="M105" s="35" t="s">
        <v>59</v>
      </c>
      <c r="N105" s="1" t="s">
        <v>804</v>
      </c>
      <c r="O105" s="1" t="s">
        <v>801</v>
      </c>
    </row>
    <row r="106" spans="1:15" s="35" customFormat="1" hidden="1" x14ac:dyDescent="0.25">
      <c r="A106" s="52" t="s">
        <v>188</v>
      </c>
      <c r="B106" s="30" t="s">
        <v>187</v>
      </c>
      <c r="C106" s="30" t="s">
        <v>187</v>
      </c>
      <c r="D106" s="31" t="s">
        <v>187</v>
      </c>
      <c r="E106" s="32">
        <v>43708</v>
      </c>
      <c r="F106" s="33">
        <v>1665.73</v>
      </c>
      <c r="G106" s="33">
        <v>-1664.73</v>
      </c>
      <c r="H106" s="33">
        <v>1</v>
      </c>
      <c r="I106" s="33">
        <f t="shared" si="2"/>
        <v>458.10404937765031</v>
      </c>
      <c r="J106" s="33">
        <f t="shared" si="2"/>
        <v>-457.82903238847581</v>
      </c>
      <c r="K106" s="33">
        <f t="shared" si="2"/>
        <v>0.27501698917450623</v>
      </c>
      <c r="L106" s="34" t="s">
        <v>12</v>
      </c>
      <c r="M106" s="35" t="s">
        <v>59</v>
      </c>
      <c r="N106" s="1" t="s">
        <v>804</v>
      </c>
      <c r="O106" s="1" t="s">
        <v>801</v>
      </c>
    </row>
    <row r="107" spans="1:15" s="35" customFormat="1" hidden="1" x14ac:dyDescent="0.25">
      <c r="A107" s="52" t="s">
        <v>189</v>
      </c>
      <c r="B107" s="30" t="s">
        <v>190</v>
      </c>
      <c r="C107" s="30" t="s">
        <v>190</v>
      </c>
      <c r="D107" s="31" t="s">
        <v>190</v>
      </c>
      <c r="E107" s="32">
        <v>43708</v>
      </c>
      <c r="F107" s="33">
        <v>1269.1300000000001</v>
      </c>
      <c r="G107" s="33">
        <v>-1268.1300000000001</v>
      </c>
      <c r="H107" s="33">
        <v>1</v>
      </c>
      <c r="I107" s="33">
        <f t="shared" si="2"/>
        <v>349.03231147104117</v>
      </c>
      <c r="J107" s="33">
        <f t="shared" si="2"/>
        <v>-348.75729448186667</v>
      </c>
      <c r="K107" s="33">
        <f t="shared" si="2"/>
        <v>0.27501698917450623</v>
      </c>
      <c r="L107" s="34" t="s">
        <v>12</v>
      </c>
      <c r="M107" s="35" t="s">
        <v>59</v>
      </c>
      <c r="N107" s="1" t="s">
        <v>804</v>
      </c>
      <c r="O107" s="1" t="s">
        <v>801</v>
      </c>
    </row>
    <row r="108" spans="1:15" s="35" customFormat="1" hidden="1" x14ac:dyDescent="0.25">
      <c r="A108" s="52" t="s">
        <v>191</v>
      </c>
      <c r="B108" s="30" t="s">
        <v>190</v>
      </c>
      <c r="C108" s="30" t="s">
        <v>190</v>
      </c>
      <c r="D108" s="31" t="s">
        <v>190</v>
      </c>
      <c r="E108" s="32">
        <v>43708</v>
      </c>
      <c r="F108" s="33">
        <v>1269.1199999999999</v>
      </c>
      <c r="G108" s="33">
        <v>-1268.1199999999999</v>
      </c>
      <c r="H108" s="33">
        <v>1</v>
      </c>
      <c r="I108" s="33">
        <f t="shared" si="2"/>
        <v>349.02956130114933</v>
      </c>
      <c r="J108" s="33">
        <f t="shared" si="2"/>
        <v>-348.75454431197483</v>
      </c>
      <c r="K108" s="33">
        <f t="shared" si="2"/>
        <v>0.27501698917450623</v>
      </c>
      <c r="L108" s="34" t="s">
        <v>12</v>
      </c>
      <c r="M108" s="35" t="s">
        <v>59</v>
      </c>
      <c r="N108" s="1" t="s">
        <v>804</v>
      </c>
      <c r="O108" s="1" t="s">
        <v>801</v>
      </c>
    </row>
    <row r="109" spans="1:15" s="35" customFormat="1" hidden="1" x14ac:dyDescent="0.25">
      <c r="A109" s="52" t="s">
        <v>192</v>
      </c>
      <c r="B109" s="30" t="s">
        <v>193</v>
      </c>
      <c r="C109" s="30" t="s">
        <v>193</v>
      </c>
      <c r="D109" s="31" t="s">
        <v>193</v>
      </c>
      <c r="E109" s="32">
        <v>43708</v>
      </c>
      <c r="F109" s="33">
        <v>1189.81</v>
      </c>
      <c r="G109" s="33">
        <v>-1188.81</v>
      </c>
      <c r="H109" s="33">
        <v>1</v>
      </c>
      <c r="I109" s="33">
        <f t="shared" si="2"/>
        <v>327.21796388971927</v>
      </c>
      <c r="J109" s="33">
        <f t="shared" si="2"/>
        <v>-326.94294690054477</v>
      </c>
      <c r="K109" s="33">
        <f t="shared" si="2"/>
        <v>0.27501698917450623</v>
      </c>
      <c r="L109" s="34" t="s">
        <v>12</v>
      </c>
      <c r="M109" s="35" t="s">
        <v>59</v>
      </c>
      <c r="N109" s="1" t="s">
        <v>804</v>
      </c>
      <c r="O109" s="1" t="s">
        <v>801</v>
      </c>
    </row>
    <row r="110" spans="1:15" s="35" customFormat="1" hidden="1" x14ac:dyDescent="0.25">
      <c r="A110" s="52" t="s">
        <v>194</v>
      </c>
      <c r="B110" s="30" t="s">
        <v>193</v>
      </c>
      <c r="C110" s="30" t="s">
        <v>193</v>
      </c>
      <c r="D110" s="31" t="s">
        <v>193</v>
      </c>
      <c r="E110" s="32">
        <v>43708</v>
      </c>
      <c r="F110" s="33">
        <v>1189.8</v>
      </c>
      <c r="G110" s="33">
        <v>-1188.8</v>
      </c>
      <c r="H110" s="33">
        <v>1</v>
      </c>
      <c r="I110" s="33">
        <f t="shared" si="2"/>
        <v>327.21521371982755</v>
      </c>
      <c r="J110" s="33">
        <f t="shared" si="2"/>
        <v>-326.94019673065304</v>
      </c>
      <c r="K110" s="33">
        <f t="shared" si="2"/>
        <v>0.27501698917450623</v>
      </c>
      <c r="L110" s="34" t="s">
        <v>12</v>
      </c>
      <c r="M110" s="35" t="s">
        <v>59</v>
      </c>
      <c r="N110" s="1" t="s">
        <v>804</v>
      </c>
      <c r="O110" s="1" t="s">
        <v>801</v>
      </c>
    </row>
    <row r="111" spans="1:15" s="35" customFormat="1" hidden="1" x14ac:dyDescent="0.25">
      <c r="A111" s="52" t="s">
        <v>195</v>
      </c>
      <c r="B111" s="30" t="s">
        <v>196</v>
      </c>
      <c r="C111" s="30" t="s">
        <v>196</v>
      </c>
      <c r="D111" s="31" t="s">
        <v>196</v>
      </c>
      <c r="E111" s="32">
        <v>43708</v>
      </c>
      <c r="F111" s="33">
        <v>1150.1500000000001</v>
      </c>
      <c r="G111" s="33">
        <v>-1149.1500000000001</v>
      </c>
      <c r="H111" s="33">
        <v>1</v>
      </c>
      <c r="I111" s="33">
        <f t="shared" si="2"/>
        <v>316.31079009905841</v>
      </c>
      <c r="J111" s="33">
        <f t="shared" si="2"/>
        <v>-316.03577310988391</v>
      </c>
      <c r="K111" s="33">
        <f t="shared" si="2"/>
        <v>0.27501698917450623</v>
      </c>
      <c r="L111" s="34" t="s">
        <v>12</v>
      </c>
      <c r="M111" s="35" t="s">
        <v>59</v>
      </c>
      <c r="N111" s="1" t="s">
        <v>795</v>
      </c>
      <c r="O111" s="1" t="s">
        <v>801</v>
      </c>
    </row>
    <row r="112" spans="1:15" s="35" customFormat="1" hidden="1" x14ac:dyDescent="0.25">
      <c r="A112" s="52" t="s">
        <v>197</v>
      </c>
      <c r="B112" s="30" t="s">
        <v>198</v>
      </c>
      <c r="C112" s="30" t="s">
        <v>198</v>
      </c>
      <c r="D112" s="31" t="s">
        <v>198</v>
      </c>
      <c r="E112" s="32">
        <v>43708</v>
      </c>
      <c r="F112" s="33">
        <v>1150.1400000000001</v>
      </c>
      <c r="G112" s="33">
        <v>-1149.1400000000001</v>
      </c>
      <c r="H112" s="33">
        <v>1</v>
      </c>
      <c r="I112" s="33">
        <f t="shared" si="2"/>
        <v>316.30803992916663</v>
      </c>
      <c r="J112" s="33">
        <f t="shared" si="2"/>
        <v>-316.03302293999212</v>
      </c>
      <c r="K112" s="33">
        <f t="shared" si="2"/>
        <v>0.27501698917450623</v>
      </c>
      <c r="L112" s="34" t="s">
        <v>12</v>
      </c>
      <c r="M112" s="35" t="s">
        <v>59</v>
      </c>
      <c r="N112" s="1" t="s">
        <v>795</v>
      </c>
      <c r="O112" s="1" t="s">
        <v>801</v>
      </c>
    </row>
    <row r="113" spans="1:15" s="35" customFormat="1" hidden="1" x14ac:dyDescent="0.25">
      <c r="A113" s="52" t="s">
        <v>199</v>
      </c>
      <c r="B113" s="30" t="s">
        <v>200</v>
      </c>
      <c r="C113" s="30" t="s">
        <v>200</v>
      </c>
      <c r="D113" s="31" t="s">
        <v>200</v>
      </c>
      <c r="E113" s="32">
        <v>43708</v>
      </c>
      <c r="F113" s="33">
        <v>1110.49</v>
      </c>
      <c r="G113" s="33">
        <v>-1109.49</v>
      </c>
      <c r="H113" s="33">
        <v>1</v>
      </c>
      <c r="I113" s="33">
        <f t="shared" si="2"/>
        <v>305.40361630839743</v>
      </c>
      <c r="J113" s="33">
        <f t="shared" si="2"/>
        <v>-305.12859931922293</v>
      </c>
      <c r="K113" s="33">
        <f t="shared" si="2"/>
        <v>0.27501698917450623</v>
      </c>
      <c r="L113" s="34" t="s">
        <v>12</v>
      </c>
      <c r="M113" s="35" t="s">
        <v>59</v>
      </c>
      <c r="N113" s="1" t="s">
        <v>795</v>
      </c>
      <c r="O113" s="1" t="s">
        <v>801</v>
      </c>
    </row>
    <row r="114" spans="1:15" s="35" customFormat="1" hidden="1" x14ac:dyDescent="0.25">
      <c r="A114" s="52" t="s">
        <v>201</v>
      </c>
      <c r="B114" s="30" t="s">
        <v>200</v>
      </c>
      <c r="C114" s="30" t="s">
        <v>200</v>
      </c>
      <c r="D114" s="31" t="s">
        <v>200</v>
      </c>
      <c r="E114" s="32">
        <v>43708</v>
      </c>
      <c r="F114" s="33">
        <v>1110.48</v>
      </c>
      <c r="G114" s="33">
        <v>-1109.48</v>
      </c>
      <c r="H114" s="33">
        <v>1</v>
      </c>
      <c r="I114" s="33">
        <f t="shared" si="2"/>
        <v>305.40086613850571</v>
      </c>
      <c r="J114" s="33">
        <f t="shared" si="2"/>
        <v>-305.1258491493312</v>
      </c>
      <c r="K114" s="33">
        <f t="shared" si="2"/>
        <v>0.27501698917450623</v>
      </c>
      <c r="L114" s="34" t="s">
        <v>12</v>
      </c>
      <c r="M114" s="35" t="s">
        <v>59</v>
      </c>
      <c r="N114" s="1" t="s">
        <v>795</v>
      </c>
      <c r="O114" s="1" t="s">
        <v>801</v>
      </c>
    </row>
    <row r="115" spans="1:15" s="35" customFormat="1" hidden="1" x14ac:dyDescent="0.25">
      <c r="A115" s="52" t="s">
        <v>202</v>
      </c>
      <c r="B115" s="30" t="s">
        <v>203</v>
      </c>
      <c r="C115" s="30" t="s">
        <v>203</v>
      </c>
      <c r="D115" s="31" t="s">
        <v>203</v>
      </c>
      <c r="E115" s="32">
        <v>43708</v>
      </c>
      <c r="F115" s="33">
        <v>991.51</v>
      </c>
      <c r="G115" s="33">
        <v>-990.51</v>
      </c>
      <c r="H115" s="33">
        <v>1</v>
      </c>
      <c r="I115" s="33">
        <f t="shared" si="2"/>
        <v>272.68209493641467</v>
      </c>
      <c r="J115" s="33">
        <f t="shared" si="2"/>
        <v>-272.40707794724017</v>
      </c>
      <c r="K115" s="33">
        <f t="shared" si="2"/>
        <v>0.27501698917450623</v>
      </c>
      <c r="L115" s="34" t="s">
        <v>12</v>
      </c>
      <c r="M115" s="35" t="s">
        <v>59</v>
      </c>
      <c r="N115" s="1" t="s">
        <v>795</v>
      </c>
      <c r="O115" s="1" t="s">
        <v>801</v>
      </c>
    </row>
    <row r="116" spans="1:15" s="35" customFormat="1" hidden="1" x14ac:dyDescent="0.25">
      <c r="A116" s="52" t="s">
        <v>204</v>
      </c>
      <c r="B116" s="30" t="s">
        <v>203</v>
      </c>
      <c r="C116" s="30" t="s">
        <v>203</v>
      </c>
      <c r="D116" s="31" t="s">
        <v>203</v>
      </c>
      <c r="E116" s="32">
        <v>43708</v>
      </c>
      <c r="F116" s="33">
        <v>991.5</v>
      </c>
      <c r="G116" s="33">
        <v>-990.5</v>
      </c>
      <c r="H116" s="33">
        <v>1</v>
      </c>
      <c r="I116" s="33">
        <f t="shared" si="2"/>
        <v>272.67934476652295</v>
      </c>
      <c r="J116" s="33">
        <f t="shared" si="2"/>
        <v>-272.40432777734844</v>
      </c>
      <c r="K116" s="33">
        <f t="shared" si="2"/>
        <v>0.27501698917450623</v>
      </c>
      <c r="L116" s="34" t="s">
        <v>12</v>
      </c>
      <c r="M116" s="35" t="s">
        <v>59</v>
      </c>
      <c r="N116" s="1" t="s">
        <v>795</v>
      </c>
      <c r="O116" s="1" t="s">
        <v>801</v>
      </c>
    </row>
    <row r="117" spans="1:15" s="35" customFormat="1" hidden="1" x14ac:dyDescent="0.25">
      <c r="A117" s="52" t="s">
        <v>205</v>
      </c>
      <c r="B117" s="30" t="s">
        <v>206</v>
      </c>
      <c r="C117" s="30" t="s">
        <v>206</v>
      </c>
      <c r="D117" s="31" t="s">
        <v>206</v>
      </c>
      <c r="E117" s="32">
        <v>43708</v>
      </c>
      <c r="F117" s="33">
        <v>666.29</v>
      </c>
      <c r="G117" s="33">
        <v>-665.29</v>
      </c>
      <c r="H117" s="33">
        <v>1</v>
      </c>
      <c r="I117" s="33">
        <f t="shared" si="2"/>
        <v>183.24106971708176</v>
      </c>
      <c r="J117" s="33">
        <f t="shared" si="2"/>
        <v>-182.96605272790725</v>
      </c>
      <c r="K117" s="33">
        <f t="shared" si="2"/>
        <v>0.27501698917450623</v>
      </c>
      <c r="L117" s="34" t="s">
        <v>12</v>
      </c>
      <c r="M117" s="35" t="s">
        <v>59</v>
      </c>
      <c r="N117" s="1" t="s">
        <v>795</v>
      </c>
      <c r="O117" s="1" t="s">
        <v>801</v>
      </c>
    </row>
    <row r="118" spans="1:15" s="35" customFormat="1" hidden="1" x14ac:dyDescent="0.25">
      <c r="A118" s="52" t="s">
        <v>207</v>
      </c>
      <c r="B118" s="30" t="s">
        <v>206</v>
      </c>
      <c r="C118" s="30" t="s">
        <v>206</v>
      </c>
      <c r="D118" s="31" t="s">
        <v>206</v>
      </c>
      <c r="E118" s="32">
        <v>43708</v>
      </c>
      <c r="F118" s="33">
        <v>666.29</v>
      </c>
      <c r="G118" s="33">
        <v>-665.29</v>
      </c>
      <c r="H118" s="33">
        <v>1</v>
      </c>
      <c r="I118" s="33">
        <f t="shared" si="2"/>
        <v>183.24106971708176</v>
      </c>
      <c r="J118" s="33">
        <f t="shared" si="2"/>
        <v>-182.96605272790725</v>
      </c>
      <c r="K118" s="33">
        <f t="shared" si="2"/>
        <v>0.27501698917450623</v>
      </c>
      <c r="L118" s="34" t="s">
        <v>12</v>
      </c>
      <c r="M118" s="35" t="s">
        <v>59</v>
      </c>
      <c r="N118" s="1" t="s">
        <v>795</v>
      </c>
      <c r="O118" s="1" t="s">
        <v>801</v>
      </c>
    </row>
    <row r="119" spans="1:15" s="35" customFormat="1" hidden="1" x14ac:dyDescent="0.25">
      <c r="A119" s="52" t="s">
        <v>208</v>
      </c>
      <c r="B119" s="30" t="s">
        <v>209</v>
      </c>
      <c r="C119" s="30" t="s">
        <v>209</v>
      </c>
      <c r="D119" s="31" t="s">
        <v>209</v>
      </c>
      <c r="E119" s="32">
        <v>43708</v>
      </c>
      <c r="F119" s="33">
        <v>610.77</v>
      </c>
      <c r="G119" s="33">
        <v>-609.77</v>
      </c>
      <c r="H119" s="33">
        <v>1</v>
      </c>
      <c r="I119" s="33">
        <f t="shared" si="2"/>
        <v>167.97212647811318</v>
      </c>
      <c r="J119" s="33">
        <f t="shared" si="2"/>
        <v>-167.69710948893868</v>
      </c>
      <c r="K119" s="33">
        <f t="shared" si="2"/>
        <v>0.27501698917450623</v>
      </c>
      <c r="L119" s="34" t="s">
        <v>12</v>
      </c>
      <c r="M119" s="35" t="s">
        <v>59</v>
      </c>
      <c r="N119" s="1" t="s">
        <v>795</v>
      </c>
      <c r="O119" s="1" t="s">
        <v>801</v>
      </c>
    </row>
    <row r="120" spans="1:15" s="35" customFormat="1" hidden="1" x14ac:dyDescent="0.25">
      <c r="A120" s="52" t="s">
        <v>210</v>
      </c>
      <c r="B120" s="30" t="s">
        <v>209</v>
      </c>
      <c r="C120" s="30" t="s">
        <v>209</v>
      </c>
      <c r="D120" s="31" t="s">
        <v>209</v>
      </c>
      <c r="E120" s="32">
        <v>43708</v>
      </c>
      <c r="F120" s="33">
        <v>610.76</v>
      </c>
      <c r="G120" s="33">
        <v>-609.76</v>
      </c>
      <c r="H120" s="33">
        <v>1</v>
      </c>
      <c r="I120" s="33">
        <f t="shared" si="2"/>
        <v>167.96937630822143</v>
      </c>
      <c r="J120" s="33">
        <f t="shared" si="2"/>
        <v>-167.69435931904692</v>
      </c>
      <c r="K120" s="33">
        <f t="shared" si="2"/>
        <v>0.27501698917450623</v>
      </c>
      <c r="L120" s="34" t="s">
        <v>12</v>
      </c>
      <c r="M120" s="35" t="s">
        <v>59</v>
      </c>
      <c r="N120" s="1" t="s">
        <v>795</v>
      </c>
      <c r="O120" s="1" t="s">
        <v>801</v>
      </c>
    </row>
    <row r="121" spans="1:15" s="35" customFormat="1" hidden="1" x14ac:dyDescent="0.25">
      <c r="A121" s="52" t="s">
        <v>211</v>
      </c>
      <c r="B121" s="30" t="s">
        <v>212</v>
      </c>
      <c r="C121" s="30" t="s">
        <v>212</v>
      </c>
      <c r="D121" s="31" t="s">
        <v>212</v>
      </c>
      <c r="E121" s="32">
        <v>43708</v>
      </c>
      <c r="F121" s="33">
        <v>539.38</v>
      </c>
      <c r="G121" s="33">
        <v>-538.38</v>
      </c>
      <c r="H121" s="33">
        <v>1</v>
      </c>
      <c r="I121" s="33">
        <f t="shared" si="2"/>
        <v>148.33866362094517</v>
      </c>
      <c r="J121" s="33">
        <f t="shared" si="2"/>
        <v>-148.06364663177067</v>
      </c>
      <c r="K121" s="33">
        <f t="shared" si="2"/>
        <v>0.27501698917450623</v>
      </c>
      <c r="L121" s="34" t="s">
        <v>12</v>
      </c>
      <c r="M121" s="35" t="s">
        <v>59</v>
      </c>
      <c r="N121" s="1" t="s">
        <v>795</v>
      </c>
      <c r="O121" s="1" t="s">
        <v>801</v>
      </c>
    </row>
    <row r="122" spans="1:15" s="35" customFormat="1" hidden="1" x14ac:dyDescent="0.25">
      <c r="A122" s="52" t="s">
        <v>213</v>
      </c>
      <c r="B122" s="30" t="s">
        <v>212</v>
      </c>
      <c r="C122" s="30" t="s">
        <v>212</v>
      </c>
      <c r="D122" s="31" t="s">
        <v>212</v>
      </c>
      <c r="E122" s="32">
        <v>43708</v>
      </c>
      <c r="F122" s="33">
        <v>539.38</v>
      </c>
      <c r="G122" s="33">
        <v>-538.38</v>
      </c>
      <c r="H122" s="33">
        <v>1</v>
      </c>
      <c r="I122" s="33">
        <f t="shared" si="2"/>
        <v>148.33866362094517</v>
      </c>
      <c r="J122" s="33">
        <f t="shared" si="2"/>
        <v>-148.06364663177067</v>
      </c>
      <c r="K122" s="33">
        <f t="shared" si="2"/>
        <v>0.27501698917450623</v>
      </c>
      <c r="L122" s="34" t="s">
        <v>12</v>
      </c>
      <c r="M122" s="35" t="s">
        <v>59</v>
      </c>
      <c r="N122" s="1" t="s">
        <v>795</v>
      </c>
      <c r="O122" s="1" t="s">
        <v>801</v>
      </c>
    </row>
    <row r="123" spans="1:15" s="35" customFormat="1" hidden="1" x14ac:dyDescent="0.25">
      <c r="A123" s="52" t="s">
        <v>214</v>
      </c>
      <c r="B123" s="30" t="s">
        <v>96</v>
      </c>
      <c r="C123" s="30" t="s">
        <v>96</v>
      </c>
      <c r="D123" s="31" t="s">
        <v>96</v>
      </c>
      <c r="E123" s="32">
        <v>43708</v>
      </c>
      <c r="F123" s="33">
        <v>2339.9499999999998</v>
      </c>
      <c r="G123" s="33">
        <v>-2338.9499999999998</v>
      </c>
      <c r="H123" s="33">
        <v>1</v>
      </c>
      <c r="I123" s="33">
        <f t="shared" si="2"/>
        <v>643.5260038188859</v>
      </c>
      <c r="J123" s="33">
        <f t="shared" si="2"/>
        <v>-643.25098682971134</v>
      </c>
      <c r="K123" s="33">
        <f t="shared" si="2"/>
        <v>0.27501698917450623</v>
      </c>
      <c r="L123" s="34" t="s">
        <v>12</v>
      </c>
      <c r="M123" s="35" t="s">
        <v>59</v>
      </c>
      <c r="N123" s="1" t="s">
        <v>795</v>
      </c>
      <c r="O123" s="1" t="s">
        <v>801</v>
      </c>
    </row>
    <row r="124" spans="1:15" s="35" customFormat="1" hidden="1" x14ac:dyDescent="0.25">
      <c r="A124" s="52" t="s">
        <v>215</v>
      </c>
      <c r="B124" s="30" t="s">
        <v>96</v>
      </c>
      <c r="C124" s="30" t="s">
        <v>96</v>
      </c>
      <c r="D124" s="31" t="s">
        <v>96</v>
      </c>
      <c r="E124" s="32">
        <v>43708</v>
      </c>
      <c r="F124" s="33">
        <v>2339.9499999999998</v>
      </c>
      <c r="G124" s="33">
        <v>-2338.9499999999998</v>
      </c>
      <c r="H124" s="33">
        <v>1</v>
      </c>
      <c r="I124" s="33">
        <f t="shared" si="2"/>
        <v>643.5260038188859</v>
      </c>
      <c r="J124" s="33">
        <f t="shared" si="2"/>
        <v>-643.25098682971134</v>
      </c>
      <c r="K124" s="33">
        <f t="shared" si="2"/>
        <v>0.27501698917450623</v>
      </c>
      <c r="L124" s="34" t="s">
        <v>12</v>
      </c>
      <c r="M124" s="35" t="s">
        <v>59</v>
      </c>
      <c r="N124" s="1" t="s">
        <v>795</v>
      </c>
      <c r="O124" s="1" t="s">
        <v>801</v>
      </c>
    </row>
    <row r="125" spans="1:15" hidden="1" x14ac:dyDescent="0.25">
      <c r="A125" s="50" t="s">
        <v>216</v>
      </c>
      <c r="B125" s="26" t="s">
        <v>217</v>
      </c>
      <c r="C125" s="26" t="s">
        <v>217</v>
      </c>
      <c r="D125" s="27" t="s">
        <v>217</v>
      </c>
      <c r="E125" s="28">
        <v>43800</v>
      </c>
      <c r="F125" s="29">
        <v>1054.48</v>
      </c>
      <c r="G125" s="29">
        <v>-1053.48</v>
      </c>
      <c r="H125" s="29">
        <v>1</v>
      </c>
      <c r="I125" s="29">
        <f t="shared" si="2"/>
        <v>289.99991474473336</v>
      </c>
      <c r="J125" s="29">
        <f t="shared" si="2"/>
        <v>-289.72489775555886</v>
      </c>
      <c r="K125" s="29">
        <f t="shared" si="2"/>
        <v>0.27501698917450623</v>
      </c>
      <c r="L125" s="9" t="s">
        <v>12</v>
      </c>
      <c r="M125" s="1" t="s">
        <v>59</v>
      </c>
      <c r="N125" s="1" t="s">
        <v>805</v>
      </c>
      <c r="O125" s="1" t="s">
        <v>799</v>
      </c>
    </row>
    <row r="126" spans="1:15" hidden="1" x14ac:dyDescent="0.25">
      <c r="A126" s="50" t="s">
        <v>218</v>
      </c>
      <c r="B126" s="26" t="s">
        <v>217</v>
      </c>
      <c r="C126" s="26" t="s">
        <v>217</v>
      </c>
      <c r="D126" s="27" t="s">
        <v>217</v>
      </c>
      <c r="E126" s="28">
        <v>43800</v>
      </c>
      <c r="F126" s="29">
        <v>1054.48</v>
      </c>
      <c r="G126" s="29">
        <v>-1053.48</v>
      </c>
      <c r="H126" s="29">
        <v>1</v>
      </c>
      <c r="I126" s="29">
        <f t="shared" si="2"/>
        <v>289.99991474473336</v>
      </c>
      <c r="J126" s="29">
        <f t="shared" si="2"/>
        <v>-289.72489775555886</v>
      </c>
      <c r="K126" s="29">
        <f t="shared" si="2"/>
        <v>0.27501698917450623</v>
      </c>
      <c r="L126" s="9" t="s">
        <v>12</v>
      </c>
      <c r="M126" s="1" t="s">
        <v>59</v>
      </c>
      <c r="N126" s="1" t="s">
        <v>805</v>
      </c>
      <c r="O126" s="1" t="s">
        <v>799</v>
      </c>
    </row>
    <row r="127" spans="1:15" hidden="1" x14ac:dyDescent="0.25">
      <c r="A127" s="50" t="s">
        <v>219</v>
      </c>
      <c r="B127" s="26" t="s">
        <v>220</v>
      </c>
      <c r="C127" s="26" t="s">
        <v>220</v>
      </c>
      <c r="D127" s="27" t="s">
        <v>220</v>
      </c>
      <c r="E127" s="28">
        <v>43800</v>
      </c>
      <c r="F127" s="29">
        <v>425.43</v>
      </c>
      <c r="G127" s="29">
        <v>-424.43</v>
      </c>
      <c r="H127" s="29">
        <v>1</v>
      </c>
      <c r="I127" s="29">
        <f t="shared" si="2"/>
        <v>117.0004777045102</v>
      </c>
      <c r="J127" s="29">
        <f t="shared" si="2"/>
        <v>-116.72546071533569</v>
      </c>
      <c r="K127" s="29">
        <f t="shared" si="2"/>
        <v>0.27501698917450623</v>
      </c>
      <c r="L127" s="9" t="s">
        <v>12</v>
      </c>
      <c r="M127" s="1" t="s">
        <v>59</v>
      </c>
      <c r="N127" s="1" t="s">
        <v>805</v>
      </c>
      <c r="O127" s="1" t="s">
        <v>799</v>
      </c>
    </row>
    <row r="128" spans="1:15" hidden="1" x14ac:dyDescent="0.25">
      <c r="A128" s="50" t="s">
        <v>221</v>
      </c>
      <c r="B128" s="26" t="s">
        <v>220</v>
      </c>
      <c r="C128" s="26" t="s">
        <v>220</v>
      </c>
      <c r="D128" s="27" t="s">
        <v>220</v>
      </c>
      <c r="E128" s="28">
        <v>43800</v>
      </c>
      <c r="F128" s="29">
        <v>425.43</v>
      </c>
      <c r="G128" s="29">
        <v>-424.43</v>
      </c>
      <c r="H128" s="29">
        <v>1</v>
      </c>
      <c r="I128" s="29">
        <f t="shared" si="2"/>
        <v>117.0004777045102</v>
      </c>
      <c r="J128" s="29">
        <f t="shared" si="2"/>
        <v>-116.72546071533569</v>
      </c>
      <c r="K128" s="29">
        <f t="shared" si="2"/>
        <v>0.27501698917450623</v>
      </c>
      <c r="L128" s="9" t="s">
        <v>12</v>
      </c>
      <c r="M128" s="1" t="s">
        <v>59</v>
      </c>
      <c r="N128" s="1" t="s">
        <v>805</v>
      </c>
      <c r="O128" s="1" t="s">
        <v>799</v>
      </c>
    </row>
    <row r="129" spans="1:16" hidden="1" x14ac:dyDescent="0.25">
      <c r="A129" s="50" t="s">
        <v>222</v>
      </c>
      <c r="B129" s="26" t="s">
        <v>223</v>
      </c>
      <c r="C129" s="26" t="s">
        <v>223</v>
      </c>
      <c r="D129" s="27" t="s">
        <v>223</v>
      </c>
      <c r="E129" s="28">
        <v>43800</v>
      </c>
      <c r="F129" s="29">
        <v>1350</v>
      </c>
      <c r="G129" s="29">
        <v>-1349</v>
      </c>
      <c r="H129" s="29">
        <v>1</v>
      </c>
      <c r="I129" s="29">
        <f t="shared" si="2"/>
        <v>371.27293538558342</v>
      </c>
      <c r="J129" s="29">
        <f t="shared" si="2"/>
        <v>-370.99791839640892</v>
      </c>
      <c r="K129" s="29">
        <f t="shared" si="2"/>
        <v>0.27501698917450623</v>
      </c>
      <c r="L129" s="9" t="s">
        <v>12</v>
      </c>
      <c r="M129" s="1" t="s">
        <v>59</v>
      </c>
      <c r="N129" s="1" t="s">
        <v>805</v>
      </c>
      <c r="O129" s="1" t="s">
        <v>801</v>
      </c>
    </row>
    <row r="130" spans="1:16" hidden="1" x14ac:dyDescent="0.25">
      <c r="A130" s="50" t="s">
        <v>224</v>
      </c>
      <c r="B130" s="26" t="s">
        <v>223</v>
      </c>
      <c r="C130" s="26" t="s">
        <v>223</v>
      </c>
      <c r="D130" s="27" t="s">
        <v>223</v>
      </c>
      <c r="E130" s="28">
        <v>43800</v>
      </c>
      <c r="F130" s="29">
        <v>1350</v>
      </c>
      <c r="G130" s="29">
        <v>-1349</v>
      </c>
      <c r="H130" s="29">
        <v>1</v>
      </c>
      <c r="I130" s="29">
        <f t="shared" si="2"/>
        <v>371.27293538558342</v>
      </c>
      <c r="J130" s="29">
        <f t="shared" si="2"/>
        <v>-370.99791839640892</v>
      </c>
      <c r="K130" s="29">
        <f t="shared" si="2"/>
        <v>0.27501698917450623</v>
      </c>
      <c r="L130" s="9" t="s">
        <v>12</v>
      </c>
      <c r="M130" s="1" t="s">
        <v>59</v>
      </c>
      <c r="N130" s="1" t="s">
        <v>805</v>
      </c>
      <c r="O130" s="1" t="s">
        <v>801</v>
      </c>
    </row>
    <row r="131" spans="1:16" hidden="1" x14ac:dyDescent="0.25">
      <c r="A131" s="50" t="s">
        <v>225</v>
      </c>
      <c r="B131" s="26" t="s">
        <v>223</v>
      </c>
      <c r="C131" s="26" t="s">
        <v>223</v>
      </c>
      <c r="D131" s="27" t="s">
        <v>223</v>
      </c>
      <c r="E131" s="28">
        <v>43800</v>
      </c>
      <c r="F131" s="29">
        <v>1350</v>
      </c>
      <c r="G131" s="29">
        <v>-1349</v>
      </c>
      <c r="H131" s="29">
        <v>1</v>
      </c>
      <c r="I131" s="29">
        <f t="shared" si="2"/>
        <v>371.27293538558342</v>
      </c>
      <c r="J131" s="29">
        <f t="shared" si="2"/>
        <v>-370.99791839640892</v>
      </c>
      <c r="K131" s="29">
        <f t="shared" si="2"/>
        <v>0.27501698917450623</v>
      </c>
      <c r="L131" s="9" t="s">
        <v>12</v>
      </c>
      <c r="M131" s="1" t="s">
        <v>59</v>
      </c>
      <c r="N131" s="1" t="s">
        <v>805</v>
      </c>
      <c r="O131" s="1" t="s">
        <v>801</v>
      </c>
    </row>
    <row r="132" spans="1:16" hidden="1" x14ac:dyDescent="0.25">
      <c r="A132" s="50" t="s">
        <v>226</v>
      </c>
      <c r="B132" s="26" t="s">
        <v>223</v>
      </c>
      <c r="C132" s="26" t="s">
        <v>223</v>
      </c>
      <c r="D132" s="27" t="s">
        <v>223</v>
      </c>
      <c r="E132" s="28">
        <v>43800</v>
      </c>
      <c r="F132" s="29">
        <v>1350</v>
      </c>
      <c r="G132" s="29">
        <v>-1349</v>
      </c>
      <c r="H132" s="29">
        <v>1</v>
      </c>
      <c r="I132" s="29">
        <f t="shared" si="2"/>
        <v>371.27293538558342</v>
      </c>
      <c r="J132" s="29">
        <f t="shared" si="2"/>
        <v>-370.99791839640892</v>
      </c>
      <c r="K132" s="29">
        <f t="shared" si="2"/>
        <v>0.27501698917450623</v>
      </c>
      <c r="L132" s="9" t="s">
        <v>12</v>
      </c>
      <c r="M132" s="1" t="s">
        <v>59</v>
      </c>
      <c r="N132" s="1" t="s">
        <v>805</v>
      </c>
      <c r="O132" s="1" t="s">
        <v>801</v>
      </c>
    </row>
    <row r="133" spans="1:16" hidden="1" x14ac:dyDescent="0.25">
      <c r="A133" s="50" t="s">
        <v>227</v>
      </c>
      <c r="B133" s="26" t="s">
        <v>228</v>
      </c>
      <c r="C133" s="26" t="s">
        <v>228</v>
      </c>
      <c r="D133" s="27" t="s">
        <v>228</v>
      </c>
      <c r="E133" s="28">
        <v>43800</v>
      </c>
      <c r="F133" s="29">
        <v>1550</v>
      </c>
      <c r="G133" s="29">
        <v>-1549</v>
      </c>
      <c r="H133" s="29">
        <v>1</v>
      </c>
      <c r="I133" s="29">
        <f t="shared" si="2"/>
        <v>426.27633322048467</v>
      </c>
      <c r="J133" s="29">
        <f t="shared" si="2"/>
        <v>-426.00131623131017</v>
      </c>
      <c r="K133" s="29">
        <f t="shared" si="2"/>
        <v>0.27501698917450623</v>
      </c>
      <c r="L133" s="9" t="s">
        <v>12</v>
      </c>
      <c r="M133" s="1" t="s">
        <v>59</v>
      </c>
      <c r="N133" s="1" t="s">
        <v>805</v>
      </c>
      <c r="O133" s="1" t="s">
        <v>801</v>
      </c>
    </row>
    <row r="134" spans="1:16" hidden="1" x14ac:dyDescent="0.25">
      <c r="A134" s="50" t="s">
        <v>229</v>
      </c>
      <c r="B134" s="26" t="s">
        <v>228</v>
      </c>
      <c r="C134" s="26" t="s">
        <v>228</v>
      </c>
      <c r="D134" s="27" t="s">
        <v>228</v>
      </c>
      <c r="E134" s="28">
        <v>43800</v>
      </c>
      <c r="F134" s="29">
        <v>1550</v>
      </c>
      <c r="G134" s="29">
        <v>-1549</v>
      </c>
      <c r="H134" s="29">
        <v>1</v>
      </c>
      <c r="I134" s="29">
        <f t="shared" ref="I134:K197" si="3">F134/3.636139</f>
        <v>426.27633322048467</v>
      </c>
      <c r="J134" s="29">
        <f t="shared" si="3"/>
        <v>-426.00131623131017</v>
      </c>
      <c r="K134" s="29">
        <f t="shared" si="3"/>
        <v>0.27501698917450623</v>
      </c>
      <c r="L134" s="9" t="s">
        <v>12</v>
      </c>
      <c r="M134" s="1" t="s">
        <v>59</v>
      </c>
      <c r="N134" s="1" t="s">
        <v>805</v>
      </c>
      <c r="O134" s="1" t="s">
        <v>801</v>
      </c>
    </row>
    <row r="135" spans="1:16" s="41" customFormat="1" x14ac:dyDescent="0.25">
      <c r="A135" s="51" t="s">
        <v>230</v>
      </c>
      <c r="B135" s="36" t="s">
        <v>231</v>
      </c>
      <c r="C135" s="36" t="s">
        <v>231</v>
      </c>
      <c r="D135" s="37" t="s">
        <v>231</v>
      </c>
      <c r="E135" s="38">
        <v>43788</v>
      </c>
      <c r="F135" s="39">
        <v>1277.1199999999999</v>
      </c>
      <c r="G135" s="39">
        <v>-1276.1199999999999</v>
      </c>
      <c r="H135" s="39">
        <v>1</v>
      </c>
      <c r="I135" s="39">
        <f t="shared" si="3"/>
        <v>351.22969721454541</v>
      </c>
      <c r="J135" s="39">
        <f t="shared" si="3"/>
        <v>-350.95468022537091</v>
      </c>
      <c r="K135" s="39">
        <f t="shared" si="3"/>
        <v>0.27501698917450623</v>
      </c>
      <c r="L135" s="40" t="s">
        <v>12</v>
      </c>
      <c r="M135" s="41" t="s">
        <v>59</v>
      </c>
      <c r="N135" s="41" t="s">
        <v>790</v>
      </c>
      <c r="P135" s="8">
        <v>1</v>
      </c>
    </row>
    <row r="136" spans="1:16" hidden="1" x14ac:dyDescent="0.25">
      <c r="A136" s="50" t="s">
        <v>232</v>
      </c>
      <c r="B136" s="26" t="s">
        <v>233</v>
      </c>
      <c r="C136" s="26" t="s">
        <v>233</v>
      </c>
      <c r="D136" s="27" t="s">
        <v>233</v>
      </c>
      <c r="E136" s="28">
        <v>43800</v>
      </c>
      <c r="F136" s="29">
        <v>45680.81</v>
      </c>
      <c r="G136" s="29">
        <v>-45679.81</v>
      </c>
      <c r="H136" s="29">
        <v>1</v>
      </c>
      <c r="I136" s="29">
        <f t="shared" si="3"/>
        <v>12562.998829252676</v>
      </c>
      <c r="J136" s="29">
        <f t="shared" si="3"/>
        <v>-12562.723812263503</v>
      </c>
      <c r="K136" s="29">
        <f t="shared" si="3"/>
        <v>0.27501698917450623</v>
      </c>
      <c r="L136" s="9" t="s">
        <v>12</v>
      </c>
      <c r="M136" s="1" t="s">
        <v>59</v>
      </c>
      <c r="N136" s="1" t="s">
        <v>796</v>
      </c>
      <c r="O136" s="1" t="s">
        <v>798</v>
      </c>
    </row>
    <row r="137" spans="1:16" hidden="1" x14ac:dyDescent="0.25">
      <c r="A137" s="50" t="s">
        <v>234</v>
      </c>
      <c r="B137" s="26" t="s">
        <v>235</v>
      </c>
      <c r="C137" s="26" t="s">
        <v>235</v>
      </c>
      <c r="D137" s="27" t="s">
        <v>235</v>
      </c>
      <c r="E137" s="28">
        <v>43830</v>
      </c>
      <c r="F137" s="29">
        <v>25767.5</v>
      </c>
      <c r="G137" s="29">
        <v>-25766.5</v>
      </c>
      <c r="H137" s="29">
        <v>1</v>
      </c>
      <c r="I137" s="29">
        <f t="shared" si="3"/>
        <v>7086.5002685540903</v>
      </c>
      <c r="J137" s="29">
        <f t="shared" si="3"/>
        <v>-7086.2252515649152</v>
      </c>
      <c r="K137" s="29">
        <f t="shared" si="3"/>
        <v>0.27501698917450623</v>
      </c>
      <c r="L137" s="9" t="s">
        <v>12</v>
      </c>
      <c r="M137" s="1" t="s">
        <v>59</v>
      </c>
      <c r="N137" s="1" t="s">
        <v>805</v>
      </c>
      <c r="O137" s="1" t="s">
        <v>802</v>
      </c>
    </row>
    <row r="138" spans="1:16" hidden="1" x14ac:dyDescent="0.25">
      <c r="A138" s="50" t="s">
        <v>236</v>
      </c>
      <c r="B138" s="26" t="s">
        <v>237</v>
      </c>
      <c r="C138" s="26" t="s">
        <v>237</v>
      </c>
      <c r="D138" s="27" t="s">
        <v>237</v>
      </c>
      <c r="E138" s="28">
        <v>43830</v>
      </c>
      <c r="F138" s="29">
        <v>25767.5</v>
      </c>
      <c r="G138" s="29">
        <v>-25766.5</v>
      </c>
      <c r="H138" s="29">
        <v>1</v>
      </c>
      <c r="I138" s="29">
        <f t="shared" si="3"/>
        <v>7086.5002685540903</v>
      </c>
      <c r="J138" s="29">
        <f t="shared" si="3"/>
        <v>-7086.2252515649152</v>
      </c>
      <c r="K138" s="29">
        <f t="shared" si="3"/>
        <v>0.27501698917450623</v>
      </c>
      <c r="L138" s="9" t="s">
        <v>12</v>
      </c>
      <c r="M138" s="1" t="s">
        <v>59</v>
      </c>
      <c r="N138" s="1" t="s">
        <v>805</v>
      </c>
      <c r="O138" s="1" t="s">
        <v>802</v>
      </c>
    </row>
    <row r="139" spans="1:16" hidden="1" x14ac:dyDescent="0.25">
      <c r="A139" s="50" t="s">
        <v>238</v>
      </c>
      <c r="B139" s="26" t="s">
        <v>239</v>
      </c>
      <c r="C139" s="26" t="s">
        <v>239</v>
      </c>
      <c r="D139" s="27" t="s">
        <v>239</v>
      </c>
      <c r="E139" s="28">
        <v>43830</v>
      </c>
      <c r="F139" s="29">
        <v>31091.13</v>
      </c>
      <c r="G139" s="29">
        <v>-29508.65</v>
      </c>
      <c r="H139" s="29">
        <v>1582.48</v>
      </c>
      <c r="I139" s="29">
        <f t="shared" si="3"/>
        <v>8550.5889626331664</v>
      </c>
      <c r="J139" s="29">
        <f t="shared" si="3"/>
        <v>-8115.3800776042945</v>
      </c>
      <c r="K139" s="29">
        <f t="shared" si="3"/>
        <v>435.20888502887266</v>
      </c>
      <c r="L139" s="9" t="s">
        <v>12</v>
      </c>
      <c r="M139" s="1" t="s">
        <v>59</v>
      </c>
      <c r="N139" s="1" t="s">
        <v>805</v>
      </c>
      <c r="O139" s="1" t="s">
        <v>802</v>
      </c>
    </row>
    <row r="140" spans="1:16" hidden="1" x14ac:dyDescent="0.25">
      <c r="A140" s="50" t="s">
        <v>240</v>
      </c>
      <c r="B140" s="26" t="s">
        <v>241</v>
      </c>
      <c r="C140" s="26" t="s">
        <v>241</v>
      </c>
      <c r="D140" s="27" t="s">
        <v>241</v>
      </c>
      <c r="E140" s="28">
        <v>43830</v>
      </c>
      <c r="F140" s="29">
        <v>34357.870000000003</v>
      </c>
      <c r="G140" s="29">
        <v>-34356.870000000003</v>
      </c>
      <c r="H140" s="29">
        <v>1</v>
      </c>
      <c r="I140" s="29">
        <f t="shared" si="3"/>
        <v>9448.9979618490943</v>
      </c>
      <c r="J140" s="29">
        <f t="shared" si="3"/>
        <v>-9448.7229448599192</v>
      </c>
      <c r="K140" s="29">
        <f t="shared" si="3"/>
        <v>0.27501698917450623</v>
      </c>
      <c r="L140" s="9" t="s">
        <v>12</v>
      </c>
      <c r="M140" s="1" t="s">
        <v>59</v>
      </c>
      <c r="N140" s="1" t="s">
        <v>805</v>
      </c>
      <c r="O140" s="1" t="s">
        <v>802</v>
      </c>
    </row>
    <row r="141" spans="1:16" hidden="1" x14ac:dyDescent="0.25">
      <c r="A141" s="50" t="s">
        <v>242</v>
      </c>
      <c r="B141" s="26" t="s">
        <v>243</v>
      </c>
      <c r="C141" s="26" t="s">
        <v>243</v>
      </c>
      <c r="D141" s="27" t="s">
        <v>243</v>
      </c>
      <c r="E141" s="28">
        <v>43830</v>
      </c>
      <c r="F141" s="29">
        <v>51534.99</v>
      </c>
      <c r="G141" s="29">
        <v>-51533.99</v>
      </c>
      <c r="H141" s="29">
        <v>1</v>
      </c>
      <c r="I141" s="29">
        <f t="shared" si="3"/>
        <v>14172.997786938287</v>
      </c>
      <c r="J141" s="29">
        <f t="shared" si="3"/>
        <v>-14172.722769949112</v>
      </c>
      <c r="K141" s="29">
        <f t="shared" si="3"/>
        <v>0.27501698917450623</v>
      </c>
      <c r="L141" s="9" t="s">
        <v>12</v>
      </c>
      <c r="M141" s="1" t="s">
        <v>59</v>
      </c>
      <c r="N141" s="1" t="s">
        <v>805</v>
      </c>
      <c r="O141" s="1" t="s">
        <v>802</v>
      </c>
    </row>
    <row r="142" spans="1:16" hidden="1" x14ac:dyDescent="0.25">
      <c r="A142" s="50" t="s">
        <v>244</v>
      </c>
      <c r="B142" s="26" t="s">
        <v>116</v>
      </c>
      <c r="C142" s="26" t="s">
        <v>116</v>
      </c>
      <c r="D142" s="27" t="s">
        <v>116</v>
      </c>
      <c r="E142" s="28">
        <v>43830</v>
      </c>
      <c r="F142" s="29">
        <v>1716.26</v>
      </c>
      <c r="G142" s="29">
        <v>-1715.26</v>
      </c>
      <c r="H142" s="29">
        <v>1</v>
      </c>
      <c r="I142" s="29">
        <f t="shared" si="3"/>
        <v>472.0006578406381</v>
      </c>
      <c r="J142" s="29">
        <f t="shared" si="3"/>
        <v>-471.7256408514636</v>
      </c>
      <c r="K142" s="29">
        <f t="shared" si="3"/>
        <v>0.27501698917450623</v>
      </c>
      <c r="L142" s="9" t="s">
        <v>12</v>
      </c>
      <c r="M142" s="1" t="s">
        <v>59</v>
      </c>
      <c r="N142" s="1" t="s">
        <v>805</v>
      </c>
      <c r="O142" s="1" t="s">
        <v>799</v>
      </c>
    </row>
    <row r="143" spans="1:16" hidden="1" x14ac:dyDescent="0.25">
      <c r="A143" s="50" t="s">
        <v>245</v>
      </c>
      <c r="B143" s="26" t="s">
        <v>116</v>
      </c>
      <c r="C143" s="26" t="s">
        <v>116</v>
      </c>
      <c r="D143" s="27" t="s">
        <v>116</v>
      </c>
      <c r="E143" s="28">
        <v>43830</v>
      </c>
      <c r="F143" s="29">
        <v>6871.39</v>
      </c>
      <c r="G143" s="29">
        <v>-6870.39</v>
      </c>
      <c r="H143" s="29">
        <v>1</v>
      </c>
      <c r="I143" s="29">
        <f t="shared" si="3"/>
        <v>1889.7489892438107</v>
      </c>
      <c r="J143" s="29">
        <f t="shared" si="3"/>
        <v>-1889.473972254636</v>
      </c>
      <c r="K143" s="29">
        <f t="shared" si="3"/>
        <v>0.27501698917450623</v>
      </c>
      <c r="L143" s="9" t="s">
        <v>12</v>
      </c>
      <c r="M143" s="1" t="s">
        <v>59</v>
      </c>
      <c r="N143" s="1" t="s">
        <v>805</v>
      </c>
      <c r="O143" s="1" t="s">
        <v>799</v>
      </c>
    </row>
    <row r="144" spans="1:16" hidden="1" x14ac:dyDescent="0.25">
      <c r="A144" s="50" t="s">
        <v>246</v>
      </c>
      <c r="B144" s="26" t="s">
        <v>116</v>
      </c>
      <c r="C144" s="26" t="s">
        <v>116</v>
      </c>
      <c r="D144" s="27" t="s">
        <v>116</v>
      </c>
      <c r="E144" s="28">
        <v>43830</v>
      </c>
      <c r="F144" s="29">
        <v>6871.39</v>
      </c>
      <c r="G144" s="29">
        <v>-6870.39</v>
      </c>
      <c r="H144" s="29">
        <v>1</v>
      </c>
      <c r="I144" s="29">
        <f t="shared" si="3"/>
        <v>1889.7489892438107</v>
      </c>
      <c r="J144" s="29">
        <f t="shared" si="3"/>
        <v>-1889.473972254636</v>
      </c>
      <c r="K144" s="29">
        <f t="shared" si="3"/>
        <v>0.27501698917450623</v>
      </c>
      <c r="L144" s="9" t="s">
        <v>12</v>
      </c>
      <c r="M144" s="1" t="s">
        <v>59</v>
      </c>
      <c r="N144" s="1" t="s">
        <v>805</v>
      </c>
      <c r="O144" s="1" t="s">
        <v>799</v>
      </c>
    </row>
    <row r="145" spans="1:15" hidden="1" x14ac:dyDescent="0.25">
      <c r="A145" s="50" t="s">
        <v>247</v>
      </c>
      <c r="B145" s="26" t="s">
        <v>116</v>
      </c>
      <c r="C145" s="26" t="s">
        <v>116</v>
      </c>
      <c r="D145" s="27" t="s">
        <v>116</v>
      </c>
      <c r="E145" s="28">
        <v>43830</v>
      </c>
      <c r="F145" s="29">
        <v>6871.39</v>
      </c>
      <c r="G145" s="29">
        <v>-6870.39</v>
      </c>
      <c r="H145" s="29">
        <v>1</v>
      </c>
      <c r="I145" s="29">
        <f t="shared" si="3"/>
        <v>1889.7489892438107</v>
      </c>
      <c r="J145" s="29">
        <f t="shared" si="3"/>
        <v>-1889.473972254636</v>
      </c>
      <c r="K145" s="29">
        <f t="shared" si="3"/>
        <v>0.27501698917450623</v>
      </c>
      <c r="L145" s="9" t="s">
        <v>12</v>
      </c>
      <c r="M145" s="1" t="s">
        <v>59</v>
      </c>
      <c r="N145" s="1" t="s">
        <v>805</v>
      </c>
      <c r="O145" s="1" t="s">
        <v>799</v>
      </c>
    </row>
    <row r="146" spans="1:15" hidden="1" x14ac:dyDescent="0.25">
      <c r="A146" s="50" t="s">
        <v>248</v>
      </c>
      <c r="B146" s="26" t="s">
        <v>116</v>
      </c>
      <c r="C146" s="26" t="s">
        <v>116</v>
      </c>
      <c r="D146" s="27" t="s">
        <v>116</v>
      </c>
      <c r="E146" s="28">
        <v>43830</v>
      </c>
      <c r="F146" s="29">
        <v>6871.39</v>
      </c>
      <c r="G146" s="29">
        <v>-6870.39</v>
      </c>
      <c r="H146" s="29">
        <v>1</v>
      </c>
      <c r="I146" s="29">
        <f t="shared" si="3"/>
        <v>1889.7489892438107</v>
      </c>
      <c r="J146" s="29">
        <f t="shared" si="3"/>
        <v>-1889.473972254636</v>
      </c>
      <c r="K146" s="29">
        <f t="shared" si="3"/>
        <v>0.27501698917450623</v>
      </c>
      <c r="L146" s="9" t="s">
        <v>12</v>
      </c>
      <c r="M146" s="1" t="s">
        <v>59</v>
      </c>
      <c r="N146" s="1" t="s">
        <v>805</v>
      </c>
      <c r="O146" s="1" t="s">
        <v>799</v>
      </c>
    </row>
    <row r="147" spans="1:15" hidden="1" x14ac:dyDescent="0.25">
      <c r="A147" s="50" t="s">
        <v>249</v>
      </c>
      <c r="B147" s="26" t="s">
        <v>250</v>
      </c>
      <c r="C147" s="26" t="s">
        <v>250</v>
      </c>
      <c r="D147" s="27" t="s">
        <v>250</v>
      </c>
      <c r="E147" s="28">
        <v>44166</v>
      </c>
      <c r="F147" s="29">
        <v>576796.52</v>
      </c>
      <c r="G147" s="29">
        <v>-470364.95</v>
      </c>
      <c r="H147" s="29">
        <v>106431.57</v>
      </c>
      <c r="I147" s="29">
        <f t="shared" si="3"/>
        <v>158628.84229673288</v>
      </c>
      <c r="J147" s="29">
        <f t="shared" si="3"/>
        <v>-129358.35236221718</v>
      </c>
      <c r="K147" s="29">
        <f t="shared" si="3"/>
        <v>29270.489934515706</v>
      </c>
      <c r="L147" s="9" t="s">
        <v>12</v>
      </c>
      <c r="M147" s="1" t="s">
        <v>59</v>
      </c>
      <c r="N147" s="1" t="s">
        <v>805</v>
      </c>
      <c r="O147" s="1" t="s">
        <v>802</v>
      </c>
    </row>
    <row r="148" spans="1:15" hidden="1" x14ac:dyDescent="0.25">
      <c r="A148" s="50" t="s">
        <v>251</v>
      </c>
      <c r="B148" s="26" t="s">
        <v>252</v>
      </c>
      <c r="C148" s="26" t="s">
        <v>252</v>
      </c>
      <c r="D148" s="27" t="s">
        <v>252</v>
      </c>
      <c r="E148" s="28">
        <v>44196</v>
      </c>
      <c r="F148" s="29">
        <v>5493.07</v>
      </c>
      <c r="G148" s="29">
        <v>-4397.3500000000004</v>
      </c>
      <c r="H148" s="29">
        <v>1095.72</v>
      </c>
      <c r="I148" s="29">
        <f t="shared" si="3"/>
        <v>1510.687572724805</v>
      </c>
      <c r="J148" s="29">
        <f t="shared" si="3"/>
        <v>-1209.3459573465152</v>
      </c>
      <c r="K148" s="29">
        <f t="shared" si="3"/>
        <v>301.34161537828999</v>
      </c>
      <c r="L148" s="9" t="s">
        <v>12</v>
      </c>
      <c r="M148" s="1" t="s">
        <v>59</v>
      </c>
      <c r="N148" s="1" t="s">
        <v>805</v>
      </c>
      <c r="O148" s="1" t="s">
        <v>802</v>
      </c>
    </row>
    <row r="149" spans="1:15" hidden="1" x14ac:dyDescent="0.25">
      <c r="A149" s="50" t="s">
        <v>253</v>
      </c>
      <c r="B149" s="26" t="s">
        <v>254</v>
      </c>
      <c r="C149" s="26" t="s">
        <v>254</v>
      </c>
      <c r="D149" s="27" t="s">
        <v>254</v>
      </c>
      <c r="E149" s="28">
        <v>44166</v>
      </c>
      <c r="F149" s="29">
        <v>3799.77</v>
      </c>
      <c r="G149" s="29">
        <v>-3103.17</v>
      </c>
      <c r="H149" s="29">
        <v>696.6</v>
      </c>
      <c r="I149" s="29">
        <f t="shared" si="3"/>
        <v>1045.0013049556137</v>
      </c>
      <c r="J149" s="29">
        <f t="shared" si="3"/>
        <v>-853.42447029665254</v>
      </c>
      <c r="K149" s="29">
        <f t="shared" si="3"/>
        <v>191.57683465896108</v>
      </c>
      <c r="L149" s="9" t="s">
        <v>12</v>
      </c>
      <c r="M149" s="1" t="s">
        <v>59</v>
      </c>
      <c r="N149" s="1" t="s">
        <v>805</v>
      </c>
      <c r="O149" s="1" t="s">
        <v>802</v>
      </c>
    </row>
    <row r="150" spans="1:15" hidden="1" x14ac:dyDescent="0.25">
      <c r="A150" s="50" t="s">
        <v>255</v>
      </c>
      <c r="B150" s="26" t="s">
        <v>254</v>
      </c>
      <c r="C150" s="26" t="s">
        <v>254</v>
      </c>
      <c r="D150" s="27" t="s">
        <v>254</v>
      </c>
      <c r="E150" s="28">
        <v>44166</v>
      </c>
      <c r="F150" s="29">
        <v>3799.76</v>
      </c>
      <c r="G150" s="29">
        <v>-3103.17</v>
      </c>
      <c r="H150" s="29">
        <v>696.59</v>
      </c>
      <c r="I150" s="29">
        <f t="shared" si="3"/>
        <v>1044.998554785722</v>
      </c>
      <c r="J150" s="29">
        <f t="shared" si="3"/>
        <v>-853.42447029665254</v>
      </c>
      <c r="K150" s="29">
        <f t="shared" si="3"/>
        <v>191.57408448906932</v>
      </c>
      <c r="L150" s="9" t="s">
        <v>12</v>
      </c>
      <c r="M150" s="1" t="s">
        <v>59</v>
      </c>
      <c r="N150" s="1" t="s">
        <v>805</v>
      </c>
      <c r="O150" s="1" t="s">
        <v>802</v>
      </c>
    </row>
    <row r="151" spans="1:15" hidden="1" x14ac:dyDescent="0.25">
      <c r="A151" s="50" t="s">
        <v>256</v>
      </c>
      <c r="B151" s="26" t="s">
        <v>257</v>
      </c>
      <c r="C151" s="26" t="s">
        <v>257</v>
      </c>
      <c r="D151" s="27" t="s">
        <v>257</v>
      </c>
      <c r="E151" s="28">
        <v>44166</v>
      </c>
      <c r="F151" s="29">
        <v>2298.04</v>
      </c>
      <c r="G151" s="29">
        <v>-1876.7</v>
      </c>
      <c r="H151" s="29">
        <v>421.34</v>
      </c>
      <c r="I151" s="29">
        <f t="shared" si="3"/>
        <v>632.00004180258236</v>
      </c>
      <c r="J151" s="29">
        <f t="shared" si="3"/>
        <v>-516.12438358379586</v>
      </c>
      <c r="K151" s="29">
        <f t="shared" si="3"/>
        <v>115.87565821878646</v>
      </c>
      <c r="L151" s="9" t="s">
        <v>12</v>
      </c>
      <c r="M151" s="1" t="s">
        <v>59</v>
      </c>
      <c r="N151" s="1" t="s">
        <v>805</v>
      </c>
      <c r="O151" s="1" t="s">
        <v>802</v>
      </c>
    </row>
    <row r="152" spans="1:15" hidden="1" x14ac:dyDescent="0.25">
      <c r="A152" s="50" t="s">
        <v>258</v>
      </c>
      <c r="B152" s="26" t="s">
        <v>259</v>
      </c>
      <c r="C152" s="26" t="s">
        <v>259</v>
      </c>
      <c r="D152" s="27" t="s">
        <v>259</v>
      </c>
      <c r="E152" s="28">
        <v>44166</v>
      </c>
      <c r="F152" s="29">
        <v>1149.02</v>
      </c>
      <c r="G152" s="29">
        <v>-938.35</v>
      </c>
      <c r="H152" s="29">
        <v>210.67</v>
      </c>
      <c r="I152" s="29">
        <f t="shared" si="3"/>
        <v>316.00002090129118</v>
      </c>
      <c r="J152" s="29">
        <f t="shared" si="3"/>
        <v>-258.06219179189793</v>
      </c>
      <c r="K152" s="29">
        <f t="shared" si="3"/>
        <v>57.937829109393228</v>
      </c>
      <c r="L152" s="9" t="s">
        <v>12</v>
      </c>
      <c r="M152" s="1" t="s">
        <v>59</v>
      </c>
      <c r="N152" s="1" t="s">
        <v>805</v>
      </c>
      <c r="O152" s="1" t="s">
        <v>802</v>
      </c>
    </row>
    <row r="153" spans="1:15" hidden="1" x14ac:dyDescent="0.25">
      <c r="A153" s="50" t="s">
        <v>260</v>
      </c>
      <c r="B153" s="26" t="s">
        <v>259</v>
      </c>
      <c r="C153" s="26" t="s">
        <v>259</v>
      </c>
      <c r="D153" s="27" t="s">
        <v>259</v>
      </c>
      <c r="E153" s="28">
        <v>44196</v>
      </c>
      <c r="F153" s="29">
        <v>1149.02</v>
      </c>
      <c r="G153" s="29">
        <v>-919.82</v>
      </c>
      <c r="H153" s="29">
        <v>229.2</v>
      </c>
      <c r="I153" s="29">
        <f t="shared" si="3"/>
        <v>316.00002090129118</v>
      </c>
      <c r="J153" s="29">
        <f t="shared" si="3"/>
        <v>-252.96612698249436</v>
      </c>
      <c r="K153" s="29">
        <f t="shared" si="3"/>
        <v>63.033893918796828</v>
      </c>
      <c r="L153" s="9" t="s">
        <v>12</v>
      </c>
      <c r="M153" s="1" t="s">
        <v>59</v>
      </c>
      <c r="N153" s="1" t="s">
        <v>805</v>
      </c>
      <c r="O153" s="1" t="s">
        <v>802</v>
      </c>
    </row>
    <row r="154" spans="1:15" hidden="1" x14ac:dyDescent="0.25">
      <c r="A154" s="50" t="s">
        <v>261</v>
      </c>
      <c r="B154" s="26" t="s">
        <v>257</v>
      </c>
      <c r="C154" s="26" t="s">
        <v>257</v>
      </c>
      <c r="D154" s="27" t="s">
        <v>257</v>
      </c>
      <c r="E154" s="28">
        <v>44166</v>
      </c>
      <c r="F154" s="29">
        <v>2298.04</v>
      </c>
      <c r="G154" s="29">
        <v>-1876.7</v>
      </c>
      <c r="H154" s="29">
        <v>421.34</v>
      </c>
      <c r="I154" s="29">
        <f t="shared" si="3"/>
        <v>632.00004180258236</v>
      </c>
      <c r="J154" s="29">
        <f t="shared" si="3"/>
        <v>-516.12438358379586</v>
      </c>
      <c r="K154" s="29">
        <f t="shared" si="3"/>
        <v>115.87565821878646</v>
      </c>
      <c r="L154" s="9" t="s">
        <v>12</v>
      </c>
      <c r="M154" s="1" t="s">
        <v>59</v>
      </c>
      <c r="N154" s="1" t="s">
        <v>805</v>
      </c>
      <c r="O154" s="1" t="s">
        <v>802</v>
      </c>
    </row>
    <row r="155" spans="1:15" s="92" customFormat="1" hidden="1" x14ac:dyDescent="0.25">
      <c r="A155" s="86" t="s">
        <v>262</v>
      </c>
      <c r="B155" s="87" t="s">
        <v>263</v>
      </c>
      <c r="C155" s="87" t="s">
        <v>263</v>
      </c>
      <c r="D155" s="88" t="s">
        <v>263</v>
      </c>
      <c r="E155" s="89">
        <v>44196</v>
      </c>
      <c r="F155" s="90">
        <v>25947.49</v>
      </c>
      <c r="G155" s="90">
        <v>-20772.03</v>
      </c>
      <c r="H155" s="90">
        <v>5175.46</v>
      </c>
      <c r="I155" s="90">
        <f t="shared" si="3"/>
        <v>7136.0005764356101</v>
      </c>
      <c r="J155" s="90">
        <f t="shared" si="3"/>
        <v>-5712.6611496425185</v>
      </c>
      <c r="K155" s="90">
        <f t="shared" si="3"/>
        <v>1423.3394267930901</v>
      </c>
      <c r="L155" s="91" t="s">
        <v>12</v>
      </c>
      <c r="M155" s="92" t="s">
        <v>59</v>
      </c>
      <c r="N155" s="92" t="s">
        <v>793</v>
      </c>
      <c r="O155" s="92" t="s">
        <v>892</v>
      </c>
    </row>
    <row r="156" spans="1:15" hidden="1" x14ac:dyDescent="0.25">
      <c r="A156" s="50" t="s">
        <v>264</v>
      </c>
      <c r="B156" s="26" t="s">
        <v>265</v>
      </c>
      <c r="C156" s="26" t="s">
        <v>265</v>
      </c>
      <c r="D156" s="27" t="s">
        <v>265</v>
      </c>
      <c r="E156" s="28">
        <v>44196</v>
      </c>
      <c r="F156" s="29">
        <v>16184.14</v>
      </c>
      <c r="G156" s="29">
        <v>-12956.22</v>
      </c>
      <c r="H156" s="29">
        <v>3227.92</v>
      </c>
      <c r="I156" s="29">
        <f t="shared" si="3"/>
        <v>4450.9134551786938</v>
      </c>
      <c r="J156" s="29">
        <f t="shared" si="3"/>
        <v>-3563.1806154825213</v>
      </c>
      <c r="K156" s="29">
        <f t="shared" si="3"/>
        <v>887.73283969617228</v>
      </c>
      <c r="L156" s="9" t="s">
        <v>12</v>
      </c>
      <c r="M156" s="1" t="s">
        <v>59</v>
      </c>
      <c r="N156" s="1" t="s">
        <v>806</v>
      </c>
      <c r="O156" s="1" t="s">
        <v>802</v>
      </c>
    </row>
    <row r="157" spans="1:15" hidden="1" x14ac:dyDescent="0.25">
      <c r="A157" s="50" t="s">
        <v>266</v>
      </c>
      <c r="B157" s="26" t="s">
        <v>265</v>
      </c>
      <c r="C157" s="26" t="s">
        <v>265</v>
      </c>
      <c r="D157" s="27" t="s">
        <v>265</v>
      </c>
      <c r="E157" s="28">
        <v>44196</v>
      </c>
      <c r="F157" s="29">
        <v>13415.64</v>
      </c>
      <c r="G157" s="29">
        <v>-10739.53</v>
      </c>
      <c r="H157" s="29">
        <v>2676.11</v>
      </c>
      <c r="I157" s="29">
        <f t="shared" si="3"/>
        <v>3689.5289206490729</v>
      </c>
      <c r="J157" s="29">
        <f t="shared" si="3"/>
        <v>-2953.5532057492856</v>
      </c>
      <c r="K157" s="29">
        <f t="shared" si="3"/>
        <v>735.97571489978793</v>
      </c>
      <c r="L157" s="9" t="s">
        <v>12</v>
      </c>
      <c r="M157" s="1" t="s">
        <v>59</v>
      </c>
      <c r="N157" s="1" t="s">
        <v>806</v>
      </c>
      <c r="O157" s="1" t="s">
        <v>802</v>
      </c>
    </row>
    <row r="158" spans="1:15" hidden="1" x14ac:dyDescent="0.25">
      <c r="A158" s="50" t="s">
        <v>267</v>
      </c>
      <c r="B158" s="26" t="s">
        <v>268</v>
      </c>
      <c r="C158" s="26" t="s">
        <v>268</v>
      </c>
      <c r="D158" s="27" t="s">
        <v>268</v>
      </c>
      <c r="E158" s="28">
        <v>44196</v>
      </c>
      <c r="F158" s="29">
        <v>12668.57</v>
      </c>
      <c r="G158" s="29">
        <v>-10141.530000000001</v>
      </c>
      <c r="H158" s="29">
        <v>2527.04</v>
      </c>
      <c r="I158" s="29">
        <f t="shared" si="3"/>
        <v>3484.0719785464748</v>
      </c>
      <c r="J158" s="29">
        <f t="shared" si="3"/>
        <v>-2789.0930462229308</v>
      </c>
      <c r="K158" s="29">
        <f t="shared" si="3"/>
        <v>694.97893232354431</v>
      </c>
      <c r="L158" s="9" t="s">
        <v>12</v>
      </c>
      <c r="M158" s="1" t="s">
        <v>59</v>
      </c>
      <c r="N158" s="1" t="s">
        <v>806</v>
      </c>
      <c r="O158" s="1" t="s">
        <v>802</v>
      </c>
    </row>
    <row r="159" spans="1:15" hidden="1" x14ac:dyDescent="0.25">
      <c r="A159" s="50" t="s">
        <v>269</v>
      </c>
      <c r="B159" s="26" t="s">
        <v>268</v>
      </c>
      <c r="C159" s="26" t="s">
        <v>268</v>
      </c>
      <c r="D159" s="27" t="s">
        <v>268</v>
      </c>
      <c r="E159" s="28">
        <v>44196</v>
      </c>
      <c r="F159" s="29">
        <v>12668.58</v>
      </c>
      <c r="G159" s="29">
        <v>-10141.530000000001</v>
      </c>
      <c r="H159" s="29">
        <v>2527.0500000000002</v>
      </c>
      <c r="I159" s="29">
        <f t="shared" si="3"/>
        <v>3484.0747287163663</v>
      </c>
      <c r="J159" s="29">
        <f t="shared" si="3"/>
        <v>-2789.0930462229308</v>
      </c>
      <c r="K159" s="29">
        <f t="shared" si="3"/>
        <v>694.9816824934361</v>
      </c>
      <c r="L159" s="9" t="s">
        <v>12</v>
      </c>
      <c r="M159" s="1" t="s">
        <v>59</v>
      </c>
      <c r="N159" s="1" t="s">
        <v>806</v>
      </c>
      <c r="O159" s="1" t="s">
        <v>802</v>
      </c>
    </row>
    <row r="160" spans="1:15" hidden="1" x14ac:dyDescent="0.25">
      <c r="A160" s="50" t="s">
        <v>270</v>
      </c>
      <c r="B160" s="26" t="s">
        <v>268</v>
      </c>
      <c r="C160" s="26" t="s">
        <v>268</v>
      </c>
      <c r="D160" s="27" t="s">
        <v>268</v>
      </c>
      <c r="E160" s="28">
        <v>44196</v>
      </c>
      <c r="F160" s="29">
        <v>15120.05</v>
      </c>
      <c r="G160" s="29">
        <v>-12104.13</v>
      </c>
      <c r="H160" s="29">
        <v>3015.92</v>
      </c>
      <c r="I160" s="29">
        <f t="shared" si="3"/>
        <v>4158.2706271679926</v>
      </c>
      <c r="J160" s="29">
        <f t="shared" si="3"/>
        <v>-3328.8413891768164</v>
      </c>
      <c r="K160" s="29">
        <f t="shared" si="3"/>
        <v>829.42923799117693</v>
      </c>
      <c r="L160" s="9" t="s">
        <v>12</v>
      </c>
      <c r="M160" s="1" t="s">
        <v>59</v>
      </c>
      <c r="N160" s="1" t="s">
        <v>806</v>
      </c>
      <c r="O160" s="1" t="s">
        <v>802</v>
      </c>
    </row>
    <row r="161" spans="1:16" s="25" customFormat="1" x14ac:dyDescent="0.25">
      <c r="A161" s="53" t="s">
        <v>271</v>
      </c>
      <c r="B161" s="20" t="s">
        <v>268</v>
      </c>
      <c r="C161" s="20" t="s">
        <v>268</v>
      </c>
      <c r="D161" s="21" t="s">
        <v>268</v>
      </c>
      <c r="E161" s="22">
        <v>44196</v>
      </c>
      <c r="F161" s="23">
        <v>12668.58</v>
      </c>
      <c r="G161" s="23">
        <v>-10141.530000000001</v>
      </c>
      <c r="H161" s="23">
        <v>2527.0500000000002</v>
      </c>
      <c r="I161" s="23">
        <f t="shared" si="3"/>
        <v>3484.0747287163663</v>
      </c>
      <c r="J161" s="23">
        <f t="shared" si="3"/>
        <v>-2789.0930462229308</v>
      </c>
      <c r="K161" s="23">
        <f t="shared" si="3"/>
        <v>694.9816824934361</v>
      </c>
      <c r="L161" s="24" t="s">
        <v>12</v>
      </c>
      <c r="M161" s="25" t="s">
        <v>59</v>
      </c>
      <c r="N161" s="25" t="s">
        <v>794</v>
      </c>
      <c r="O161" s="25" t="s">
        <v>893</v>
      </c>
      <c r="P161" s="8">
        <v>2527.0500000000002</v>
      </c>
    </row>
    <row r="162" spans="1:16" hidden="1" x14ac:dyDescent="0.25">
      <c r="A162" s="50" t="s">
        <v>272</v>
      </c>
      <c r="B162" s="26" t="s">
        <v>273</v>
      </c>
      <c r="C162" s="26" t="s">
        <v>273</v>
      </c>
      <c r="D162" s="27" t="s">
        <v>273</v>
      </c>
      <c r="E162" s="28">
        <v>44196</v>
      </c>
      <c r="F162" s="29">
        <v>9443.36</v>
      </c>
      <c r="G162" s="29">
        <v>-7559.8</v>
      </c>
      <c r="H162" s="29">
        <v>1883.56</v>
      </c>
      <c r="I162" s="29">
        <f t="shared" si="3"/>
        <v>2597.0844348909654</v>
      </c>
      <c r="J162" s="29">
        <f t="shared" si="3"/>
        <v>-2079.0734347614325</v>
      </c>
      <c r="K162" s="29">
        <f t="shared" si="3"/>
        <v>518.01100012953293</v>
      </c>
      <c r="L162" s="9" t="s">
        <v>12</v>
      </c>
      <c r="M162" s="1" t="s">
        <v>59</v>
      </c>
      <c r="N162" s="1" t="s">
        <v>806</v>
      </c>
      <c r="O162" s="1" t="s">
        <v>802</v>
      </c>
    </row>
    <row r="163" spans="1:16" hidden="1" x14ac:dyDescent="0.25">
      <c r="A163" s="50" t="s">
        <v>274</v>
      </c>
      <c r="B163" s="26" t="s">
        <v>273</v>
      </c>
      <c r="C163" s="26" t="s">
        <v>273</v>
      </c>
      <c r="D163" s="27" t="s">
        <v>273</v>
      </c>
      <c r="E163" s="28">
        <v>44196</v>
      </c>
      <c r="F163" s="29">
        <v>7577.3</v>
      </c>
      <c r="G163" s="29">
        <v>-6065.99</v>
      </c>
      <c r="H163" s="29">
        <v>1511.31</v>
      </c>
      <c r="I163" s="29">
        <f t="shared" si="3"/>
        <v>2083.8862320719863</v>
      </c>
      <c r="J163" s="29">
        <f t="shared" si="3"/>
        <v>-1668.250306162663</v>
      </c>
      <c r="K163" s="29">
        <f t="shared" si="3"/>
        <v>415.63592590932302</v>
      </c>
      <c r="L163" s="9" t="s">
        <v>12</v>
      </c>
      <c r="M163" s="1" t="s">
        <v>59</v>
      </c>
      <c r="N163" s="1" t="s">
        <v>806</v>
      </c>
      <c r="O163" s="1" t="s">
        <v>802</v>
      </c>
    </row>
    <row r="164" spans="1:16" s="25" customFormat="1" x14ac:dyDescent="0.25">
      <c r="A164" s="53" t="s">
        <v>275</v>
      </c>
      <c r="B164" s="20" t="s">
        <v>273</v>
      </c>
      <c r="C164" s="20" t="s">
        <v>273</v>
      </c>
      <c r="D164" s="21" t="s">
        <v>273</v>
      </c>
      <c r="E164" s="22">
        <v>44196</v>
      </c>
      <c r="F164" s="23">
        <v>7577.29</v>
      </c>
      <c r="G164" s="23">
        <v>-6065.99</v>
      </c>
      <c r="H164" s="23">
        <v>1511.3</v>
      </c>
      <c r="I164" s="23">
        <f t="shared" si="3"/>
        <v>2083.8834819020944</v>
      </c>
      <c r="J164" s="23">
        <f t="shared" si="3"/>
        <v>-1668.250306162663</v>
      </c>
      <c r="K164" s="23">
        <f t="shared" si="3"/>
        <v>415.63317573943129</v>
      </c>
      <c r="L164" s="24" t="s">
        <v>12</v>
      </c>
      <c r="M164" s="25" t="s">
        <v>59</v>
      </c>
      <c r="N164" s="25" t="s">
        <v>794</v>
      </c>
      <c r="O164" s="1" t="s">
        <v>802</v>
      </c>
      <c r="P164" s="8">
        <v>1511.3</v>
      </c>
    </row>
    <row r="165" spans="1:16" s="25" customFormat="1" x14ac:dyDescent="0.25">
      <c r="A165" s="53" t="s">
        <v>276</v>
      </c>
      <c r="B165" s="20" t="s">
        <v>273</v>
      </c>
      <c r="C165" s="20" t="s">
        <v>273</v>
      </c>
      <c r="D165" s="21" t="s">
        <v>273</v>
      </c>
      <c r="E165" s="22">
        <v>44196</v>
      </c>
      <c r="F165" s="23">
        <v>7577.3</v>
      </c>
      <c r="G165" s="23">
        <v>-6065.99</v>
      </c>
      <c r="H165" s="23">
        <v>1511.31</v>
      </c>
      <c r="I165" s="23">
        <f t="shared" si="3"/>
        <v>2083.8862320719863</v>
      </c>
      <c r="J165" s="23">
        <f t="shared" si="3"/>
        <v>-1668.250306162663</v>
      </c>
      <c r="K165" s="23">
        <f t="shared" si="3"/>
        <v>415.63592590932302</v>
      </c>
      <c r="L165" s="24" t="s">
        <v>12</v>
      </c>
      <c r="M165" s="25" t="s">
        <v>59</v>
      </c>
      <c r="N165" s="25" t="s">
        <v>794</v>
      </c>
      <c r="O165" s="25" t="s">
        <v>893</v>
      </c>
      <c r="P165" s="8">
        <v>1511.31</v>
      </c>
    </row>
    <row r="166" spans="1:16" hidden="1" x14ac:dyDescent="0.25">
      <c r="A166" s="50" t="s">
        <v>277</v>
      </c>
      <c r="B166" s="26" t="s">
        <v>278</v>
      </c>
      <c r="C166" s="26" t="s">
        <v>278</v>
      </c>
      <c r="D166" s="27" t="s">
        <v>278</v>
      </c>
      <c r="E166" s="28">
        <v>44196</v>
      </c>
      <c r="F166" s="29">
        <v>7577.29</v>
      </c>
      <c r="G166" s="29">
        <v>-6065.99</v>
      </c>
      <c r="H166" s="29">
        <v>1511.3</v>
      </c>
      <c r="I166" s="29">
        <f t="shared" si="3"/>
        <v>2083.8834819020944</v>
      </c>
      <c r="J166" s="29">
        <f t="shared" si="3"/>
        <v>-1668.250306162663</v>
      </c>
      <c r="K166" s="29">
        <f t="shared" si="3"/>
        <v>415.63317573943129</v>
      </c>
      <c r="L166" s="9" t="s">
        <v>12</v>
      </c>
      <c r="M166" s="1" t="s">
        <v>59</v>
      </c>
      <c r="N166" s="1" t="s">
        <v>806</v>
      </c>
      <c r="O166" s="1" t="s">
        <v>802</v>
      </c>
    </row>
    <row r="167" spans="1:16" hidden="1" x14ac:dyDescent="0.25">
      <c r="A167" s="50" t="s">
        <v>279</v>
      </c>
      <c r="B167" s="26" t="s">
        <v>278</v>
      </c>
      <c r="C167" s="26" t="s">
        <v>278</v>
      </c>
      <c r="D167" s="27" t="s">
        <v>278</v>
      </c>
      <c r="E167" s="28">
        <v>44196</v>
      </c>
      <c r="F167" s="29">
        <v>7577.3</v>
      </c>
      <c r="G167" s="29">
        <v>-6065.99</v>
      </c>
      <c r="H167" s="29">
        <v>1511.31</v>
      </c>
      <c r="I167" s="29">
        <f t="shared" si="3"/>
        <v>2083.8862320719863</v>
      </c>
      <c r="J167" s="29">
        <f t="shared" si="3"/>
        <v>-1668.250306162663</v>
      </c>
      <c r="K167" s="29">
        <f t="shared" si="3"/>
        <v>415.63592590932302</v>
      </c>
      <c r="L167" s="9" t="s">
        <v>12</v>
      </c>
      <c r="M167" s="1" t="s">
        <v>59</v>
      </c>
      <c r="N167" s="1" t="s">
        <v>806</v>
      </c>
      <c r="O167" s="1" t="s">
        <v>802</v>
      </c>
    </row>
    <row r="168" spans="1:16" s="25" customFormat="1" x14ac:dyDescent="0.25">
      <c r="A168" s="53" t="s">
        <v>280</v>
      </c>
      <c r="B168" s="20" t="s">
        <v>278</v>
      </c>
      <c r="C168" s="20" t="s">
        <v>278</v>
      </c>
      <c r="D168" s="21" t="s">
        <v>278</v>
      </c>
      <c r="E168" s="22">
        <v>44196</v>
      </c>
      <c r="F168" s="23">
        <v>8948.99</v>
      </c>
      <c r="G168" s="23">
        <v>-7164.01</v>
      </c>
      <c r="H168" s="23">
        <v>1784.98</v>
      </c>
      <c r="I168" s="23">
        <f t="shared" si="3"/>
        <v>2461.1242859527647</v>
      </c>
      <c r="J168" s="23">
        <f t="shared" si="3"/>
        <v>-1970.2244606160546</v>
      </c>
      <c r="K168" s="23">
        <f t="shared" si="3"/>
        <v>490.89982533671019</v>
      </c>
      <c r="L168" s="24" t="s">
        <v>12</v>
      </c>
      <c r="M168" s="25" t="s">
        <v>59</v>
      </c>
      <c r="N168" s="25" t="s">
        <v>794</v>
      </c>
      <c r="O168" s="25" t="s">
        <v>893</v>
      </c>
      <c r="P168" s="8">
        <v>1784.98</v>
      </c>
    </row>
    <row r="169" spans="1:16" s="25" customFormat="1" x14ac:dyDescent="0.25">
      <c r="A169" s="53" t="s">
        <v>281</v>
      </c>
      <c r="B169" s="20" t="s">
        <v>278</v>
      </c>
      <c r="C169" s="20" t="s">
        <v>278</v>
      </c>
      <c r="D169" s="21" t="s">
        <v>278</v>
      </c>
      <c r="E169" s="22">
        <v>44196</v>
      </c>
      <c r="F169" s="23">
        <v>7577.3</v>
      </c>
      <c r="G169" s="23">
        <v>-6065.99</v>
      </c>
      <c r="H169" s="23">
        <v>1511.31</v>
      </c>
      <c r="I169" s="23">
        <f t="shared" si="3"/>
        <v>2083.8862320719863</v>
      </c>
      <c r="J169" s="23">
        <f t="shared" si="3"/>
        <v>-1668.250306162663</v>
      </c>
      <c r="K169" s="23">
        <f t="shared" si="3"/>
        <v>415.63592590932302</v>
      </c>
      <c r="L169" s="24" t="s">
        <v>12</v>
      </c>
      <c r="M169" s="25" t="s">
        <v>59</v>
      </c>
      <c r="N169" s="25" t="s">
        <v>794</v>
      </c>
      <c r="O169" s="25" t="s">
        <v>893</v>
      </c>
      <c r="P169" s="8">
        <v>1511.31</v>
      </c>
    </row>
    <row r="170" spans="1:16" hidden="1" x14ac:dyDescent="0.25">
      <c r="A170" s="50" t="s">
        <v>282</v>
      </c>
      <c r="B170" s="26" t="s">
        <v>283</v>
      </c>
      <c r="C170" s="26" t="s">
        <v>283</v>
      </c>
      <c r="D170" s="27" t="s">
        <v>283</v>
      </c>
      <c r="E170" s="28">
        <v>44196</v>
      </c>
      <c r="F170" s="29">
        <v>8292.9500000000007</v>
      </c>
      <c r="G170" s="29">
        <v>-6639.02</v>
      </c>
      <c r="H170" s="29">
        <v>1653.93</v>
      </c>
      <c r="I170" s="29">
        <f t="shared" si="3"/>
        <v>2280.7021403747217</v>
      </c>
      <c r="J170" s="29">
        <f t="shared" si="3"/>
        <v>-1825.8432914693306</v>
      </c>
      <c r="K170" s="29">
        <f t="shared" si="3"/>
        <v>454.85884890539114</v>
      </c>
      <c r="L170" s="9" t="s">
        <v>12</v>
      </c>
      <c r="M170" s="1" t="s">
        <v>59</v>
      </c>
      <c r="N170" s="1" t="s">
        <v>806</v>
      </c>
      <c r="O170" s="1" t="s">
        <v>802</v>
      </c>
    </row>
    <row r="171" spans="1:16" s="25" customFormat="1" x14ac:dyDescent="0.25">
      <c r="A171" s="53" t="s">
        <v>284</v>
      </c>
      <c r="B171" s="20" t="s">
        <v>283</v>
      </c>
      <c r="C171" s="20" t="s">
        <v>283</v>
      </c>
      <c r="D171" s="21" t="s">
        <v>283</v>
      </c>
      <c r="E171" s="22">
        <v>44196</v>
      </c>
      <c r="F171" s="23">
        <v>7577.3</v>
      </c>
      <c r="G171" s="23">
        <v>-6065.99</v>
      </c>
      <c r="H171" s="23">
        <v>1511.31</v>
      </c>
      <c r="I171" s="23">
        <f t="shared" si="3"/>
        <v>2083.8862320719863</v>
      </c>
      <c r="J171" s="23">
        <f t="shared" si="3"/>
        <v>-1668.250306162663</v>
      </c>
      <c r="K171" s="23">
        <f t="shared" si="3"/>
        <v>415.63592590932302</v>
      </c>
      <c r="L171" s="24" t="s">
        <v>12</v>
      </c>
      <c r="M171" s="25" t="s">
        <v>59</v>
      </c>
      <c r="N171" s="25" t="s">
        <v>794</v>
      </c>
      <c r="O171" s="25" t="s">
        <v>893</v>
      </c>
      <c r="P171" s="8">
        <v>1511.31</v>
      </c>
    </row>
    <row r="172" spans="1:16" s="25" customFormat="1" x14ac:dyDescent="0.25">
      <c r="A172" s="53" t="s">
        <v>285</v>
      </c>
      <c r="B172" s="20" t="s">
        <v>283</v>
      </c>
      <c r="C172" s="20" t="s">
        <v>283</v>
      </c>
      <c r="D172" s="21" t="s">
        <v>283</v>
      </c>
      <c r="E172" s="22">
        <v>44196</v>
      </c>
      <c r="F172" s="23">
        <v>8465.6</v>
      </c>
      <c r="G172" s="23">
        <v>-6776.87</v>
      </c>
      <c r="H172" s="23">
        <v>1688.73</v>
      </c>
      <c r="I172" s="23">
        <f t="shared" si="3"/>
        <v>2328.1838235557002</v>
      </c>
      <c r="J172" s="23">
        <f t="shared" si="3"/>
        <v>-1863.7543834270361</v>
      </c>
      <c r="K172" s="23">
        <f t="shared" si="3"/>
        <v>464.42944012866394</v>
      </c>
      <c r="L172" s="24" t="s">
        <v>12</v>
      </c>
      <c r="M172" s="25" t="s">
        <v>59</v>
      </c>
      <c r="N172" s="25" t="s">
        <v>794</v>
      </c>
      <c r="O172" s="25" t="s">
        <v>893</v>
      </c>
      <c r="P172" s="8">
        <v>1688.73</v>
      </c>
    </row>
    <row r="173" spans="1:16" s="25" customFormat="1" x14ac:dyDescent="0.25">
      <c r="A173" s="53" t="s">
        <v>286</v>
      </c>
      <c r="B173" s="20" t="s">
        <v>283</v>
      </c>
      <c r="C173" s="20" t="s">
        <v>283</v>
      </c>
      <c r="D173" s="21" t="s">
        <v>283</v>
      </c>
      <c r="E173" s="22">
        <v>44196</v>
      </c>
      <c r="F173" s="23">
        <v>7577.3</v>
      </c>
      <c r="G173" s="23">
        <v>-6065.99</v>
      </c>
      <c r="H173" s="23">
        <v>1511.31</v>
      </c>
      <c r="I173" s="23">
        <f t="shared" si="3"/>
        <v>2083.8862320719863</v>
      </c>
      <c r="J173" s="23">
        <f t="shared" si="3"/>
        <v>-1668.250306162663</v>
      </c>
      <c r="K173" s="23">
        <f t="shared" si="3"/>
        <v>415.63592590932302</v>
      </c>
      <c r="L173" s="24" t="s">
        <v>12</v>
      </c>
      <c r="M173" s="25" t="s">
        <v>59</v>
      </c>
      <c r="N173" s="25" t="s">
        <v>794</v>
      </c>
      <c r="O173" s="25" t="s">
        <v>893</v>
      </c>
      <c r="P173" s="8">
        <v>1511.31</v>
      </c>
    </row>
    <row r="174" spans="1:16" hidden="1" x14ac:dyDescent="0.25">
      <c r="A174" s="50" t="s">
        <v>287</v>
      </c>
      <c r="B174" s="26" t="s">
        <v>288</v>
      </c>
      <c r="C174" s="26" t="s">
        <v>288</v>
      </c>
      <c r="D174" s="27" t="s">
        <v>288</v>
      </c>
      <c r="E174" s="28">
        <v>44196</v>
      </c>
      <c r="F174" s="29">
        <v>3509.28</v>
      </c>
      <c r="G174" s="29">
        <v>-2809.41</v>
      </c>
      <c r="H174" s="29">
        <v>699.87</v>
      </c>
      <c r="I174" s="29">
        <f t="shared" si="3"/>
        <v>965.11161977031134</v>
      </c>
      <c r="J174" s="29">
        <f t="shared" si="3"/>
        <v>-772.6354795567496</v>
      </c>
      <c r="K174" s="29">
        <f t="shared" si="3"/>
        <v>192.47614021356171</v>
      </c>
      <c r="L174" s="9" t="s">
        <v>12</v>
      </c>
      <c r="M174" s="1" t="s">
        <v>59</v>
      </c>
      <c r="N174" s="1" t="s">
        <v>806</v>
      </c>
      <c r="O174" s="1" t="s">
        <v>802</v>
      </c>
    </row>
    <row r="175" spans="1:16" hidden="1" x14ac:dyDescent="0.25">
      <c r="A175" s="50" t="s">
        <v>289</v>
      </c>
      <c r="B175" s="26" t="s">
        <v>288</v>
      </c>
      <c r="C175" s="26" t="s">
        <v>288</v>
      </c>
      <c r="D175" s="27" t="s">
        <v>288</v>
      </c>
      <c r="E175" s="28">
        <v>44196</v>
      </c>
      <c r="F175" s="29">
        <v>3509.28</v>
      </c>
      <c r="G175" s="29">
        <v>-2809.41</v>
      </c>
      <c r="H175" s="29">
        <v>699.87</v>
      </c>
      <c r="I175" s="29">
        <f t="shared" si="3"/>
        <v>965.11161977031134</v>
      </c>
      <c r="J175" s="29">
        <f t="shared" si="3"/>
        <v>-772.6354795567496</v>
      </c>
      <c r="K175" s="29">
        <f t="shared" si="3"/>
        <v>192.47614021356171</v>
      </c>
      <c r="L175" s="9" t="s">
        <v>12</v>
      </c>
      <c r="M175" s="1" t="s">
        <v>59</v>
      </c>
      <c r="N175" s="1" t="s">
        <v>806</v>
      </c>
      <c r="O175" s="1" t="s">
        <v>802</v>
      </c>
    </row>
    <row r="176" spans="1:16" hidden="1" x14ac:dyDescent="0.25">
      <c r="A176" s="50" t="s">
        <v>290</v>
      </c>
      <c r="B176" s="26" t="s">
        <v>291</v>
      </c>
      <c r="C176" s="26" t="s">
        <v>291</v>
      </c>
      <c r="D176" s="27" t="s">
        <v>291</v>
      </c>
      <c r="E176" s="28">
        <v>44196</v>
      </c>
      <c r="F176" s="29">
        <v>4061.73</v>
      </c>
      <c r="G176" s="29">
        <v>-3251.78</v>
      </c>
      <c r="H176" s="29">
        <v>809.95</v>
      </c>
      <c r="I176" s="29">
        <f t="shared" si="3"/>
        <v>1117.0447554397672</v>
      </c>
      <c r="J176" s="29">
        <f t="shared" si="3"/>
        <v>-894.29474505787596</v>
      </c>
      <c r="K176" s="29">
        <f t="shared" si="3"/>
        <v>222.75001038189134</v>
      </c>
      <c r="L176" s="9" t="s">
        <v>12</v>
      </c>
      <c r="M176" s="1" t="s">
        <v>59</v>
      </c>
      <c r="N176" s="1" t="s">
        <v>806</v>
      </c>
      <c r="O176" s="1" t="s">
        <v>802</v>
      </c>
    </row>
    <row r="177" spans="1:15" hidden="1" x14ac:dyDescent="0.25">
      <c r="A177" s="50" t="s">
        <v>292</v>
      </c>
      <c r="B177" s="26" t="s">
        <v>291</v>
      </c>
      <c r="C177" s="26" t="s">
        <v>291</v>
      </c>
      <c r="D177" s="27" t="s">
        <v>291</v>
      </c>
      <c r="E177" s="28">
        <v>44196</v>
      </c>
      <c r="F177" s="29">
        <v>4075.53</v>
      </c>
      <c r="G177" s="29">
        <v>-3262.83</v>
      </c>
      <c r="H177" s="29">
        <v>812.7</v>
      </c>
      <c r="I177" s="29">
        <f t="shared" si="3"/>
        <v>1120.8399898903756</v>
      </c>
      <c r="J177" s="29">
        <f t="shared" si="3"/>
        <v>-897.33368278825424</v>
      </c>
      <c r="K177" s="29">
        <f t="shared" si="3"/>
        <v>223.50630710212124</v>
      </c>
      <c r="L177" s="9" t="s">
        <v>12</v>
      </c>
      <c r="M177" s="1" t="s">
        <v>59</v>
      </c>
      <c r="N177" s="1" t="s">
        <v>806</v>
      </c>
      <c r="O177" s="1" t="s">
        <v>802</v>
      </c>
    </row>
    <row r="178" spans="1:15" hidden="1" x14ac:dyDescent="0.25">
      <c r="A178" s="50" t="s">
        <v>293</v>
      </c>
      <c r="B178" s="26" t="s">
        <v>294</v>
      </c>
      <c r="C178" s="26" t="s">
        <v>294</v>
      </c>
      <c r="D178" s="27" t="s">
        <v>294</v>
      </c>
      <c r="E178" s="28">
        <v>44196</v>
      </c>
      <c r="F178" s="29">
        <v>3509.28</v>
      </c>
      <c r="G178" s="29">
        <v>-2809.41</v>
      </c>
      <c r="H178" s="29">
        <v>699.87</v>
      </c>
      <c r="I178" s="29">
        <f t="shared" si="3"/>
        <v>965.11161977031134</v>
      </c>
      <c r="J178" s="29">
        <f t="shared" si="3"/>
        <v>-772.6354795567496</v>
      </c>
      <c r="K178" s="29">
        <f t="shared" si="3"/>
        <v>192.47614021356171</v>
      </c>
      <c r="L178" s="9" t="s">
        <v>12</v>
      </c>
      <c r="M178" s="1" t="s">
        <v>59</v>
      </c>
      <c r="N178" s="1" t="s">
        <v>806</v>
      </c>
      <c r="O178" s="1" t="s">
        <v>802</v>
      </c>
    </row>
    <row r="179" spans="1:15" hidden="1" x14ac:dyDescent="0.25">
      <c r="A179" s="50" t="s">
        <v>295</v>
      </c>
      <c r="B179" s="26" t="s">
        <v>294</v>
      </c>
      <c r="C179" s="26" t="s">
        <v>294</v>
      </c>
      <c r="D179" s="27" t="s">
        <v>294</v>
      </c>
      <c r="E179" s="28">
        <v>44196</v>
      </c>
      <c r="F179" s="29">
        <v>3509.28</v>
      </c>
      <c r="G179" s="29">
        <v>-2809.41</v>
      </c>
      <c r="H179" s="29">
        <v>699.87</v>
      </c>
      <c r="I179" s="29">
        <f t="shared" si="3"/>
        <v>965.11161977031134</v>
      </c>
      <c r="J179" s="29">
        <f t="shared" si="3"/>
        <v>-772.6354795567496</v>
      </c>
      <c r="K179" s="29">
        <f t="shared" si="3"/>
        <v>192.47614021356171</v>
      </c>
      <c r="L179" s="9" t="s">
        <v>12</v>
      </c>
      <c r="M179" s="1" t="s">
        <v>59</v>
      </c>
      <c r="N179" s="1" t="s">
        <v>806</v>
      </c>
      <c r="O179" s="1" t="s">
        <v>802</v>
      </c>
    </row>
    <row r="180" spans="1:15" hidden="1" x14ac:dyDescent="0.25">
      <c r="A180" s="50" t="s">
        <v>296</v>
      </c>
      <c r="B180" s="26" t="s">
        <v>294</v>
      </c>
      <c r="C180" s="26" t="s">
        <v>294</v>
      </c>
      <c r="D180" s="27" t="s">
        <v>294</v>
      </c>
      <c r="E180" s="22">
        <v>44196</v>
      </c>
      <c r="F180" s="23">
        <v>3509.29</v>
      </c>
      <c r="G180" s="23">
        <v>-2809.41</v>
      </c>
      <c r="H180" s="29">
        <v>699.88</v>
      </c>
      <c r="I180" s="23">
        <f t="shared" si="3"/>
        <v>965.11436994020301</v>
      </c>
      <c r="J180" s="23">
        <f t="shared" si="3"/>
        <v>-772.6354795567496</v>
      </c>
      <c r="K180" s="23">
        <f t="shared" si="3"/>
        <v>192.47889038345343</v>
      </c>
      <c r="L180" s="9" t="s">
        <v>12</v>
      </c>
      <c r="M180" s="1" t="s">
        <v>59</v>
      </c>
      <c r="N180" s="1" t="s">
        <v>806</v>
      </c>
      <c r="O180" s="1" t="s">
        <v>802</v>
      </c>
    </row>
    <row r="181" spans="1:15" hidden="1" x14ac:dyDescent="0.25">
      <c r="A181" s="50" t="s">
        <v>297</v>
      </c>
      <c r="B181" s="26" t="s">
        <v>298</v>
      </c>
      <c r="C181" s="26" t="s">
        <v>298</v>
      </c>
      <c r="D181" s="27" t="s">
        <v>298</v>
      </c>
      <c r="E181" s="28">
        <v>44196</v>
      </c>
      <c r="F181" s="29">
        <v>4135.49</v>
      </c>
      <c r="G181" s="29">
        <v>-3310.38</v>
      </c>
      <c r="H181" s="29">
        <v>825.11</v>
      </c>
      <c r="I181" s="29">
        <f t="shared" si="3"/>
        <v>1137.3300085612789</v>
      </c>
      <c r="J181" s="29">
        <f t="shared" si="3"/>
        <v>-910.41074062350208</v>
      </c>
      <c r="K181" s="29">
        <f t="shared" si="3"/>
        <v>226.91926793777685</v>
      </c>
      <c r="L181" s="9" t="s">
        <v>12</v>
      </c>
      <c r="M181" s="1" t="s">
        <v>59</v>
      </c>
      <c r="N181" s="1" t="s">
        <v>806</v>
      </c>
      <c r="O181" s="1" t="s">
        <v>802</v>
      </c>
    </row>
    <row r="182" spans="1:15" hidden="1" x14ac:dyDescent="0.25">
      <c r="A182" s="50" t="s">
        <v>299</v>
      </c>
      <c r="B182" s="26" t="s">
        <v>298</v>
      </c>
      <c r="C182" s="26" t="s">
        <v>298</v>
      </c>
      <c r="D182" s="27" t="s">
        <v>298</v>
      </c>
      <c r="E182" s="28">
        <v>44196</v>
      </c>
      <c r="F182" s="29">
        <v>4233.1099999999997</v>
      </c>
      <c r="G182" s="29">
        <v>-3388.68</v>
      </c>
      <c r="H182" s="29">
        <v>844.43</v>
      </c>
      <c r="I182" s="29">
        <f t="shared" si="3"/>
        <v>1164.1771670444941</v>
      </c>
      <c r="J182" s="29">
        <f t="shared" si="3"/>
        <v>-931.94457087586579</v>
      </c>
      <c r="K182" s="29">
        <f t="shared" si="3"/>
        <v>232.23259616862831</v>
      </c>
      <c r="L182" s="9" t="s">
        <v>12</v>
      </c>
      <c r="M182" s="1" t="s">
        <v>59</v>
      </c>
      <c r="N182" s="1" t="s">
        <v>806</v>
      </c>
      <c r="O182" s="1" t="s">
        <v>802</v>
      </c>
    </row>
    <row r="183" spans="1:15" hidden="1" x14ac:dyDescent="0.25">
      <c r="A183" s="50" t="s">
        <v>300</v>
      </c>
      <c r="B183" s="26" t="s">
        <v>294</v>
      </c>
      <c r="C183" s="26" t="s">
        <v>294</v>
      </c>
      <c r="D183" s="27" t="s">
        <v>294</v>
      </c>
      <c r="E183" s="22">
        <v>44196</v>
      </c>
      <c r="F183" s="23">
        <v>3509.28</v>
      </c>
      <c r="G183" s="23">
        <v>-2809.41</v>
      </c>
      <c r="H183" s="29">
        <v>699.87</v>
      </c>
      <c r="I183" s="23">
        <f t="shared" si="3"/>
        <v>965.11161977031134</v>
      </c>
      <c r="J183" s="23">
        <f t="shared" si="3"/>
        <v>-772.6354795567496</v>
      </c>
      <c r="K183" s="23">
        <f t="shared" si="3"/>
        <v>192.47614021356171</v>
      </c>
      <c r="L183" s="9" t="s">
        <v>12</v>
      </c>
      <c r="M183" s="1" t="s">
        <v>59</v>
      </c>
      <c r="N183" s="1" t="s">
        <v>806</v>
      </c>
      <c r="O183" s="1" t="s">
        <v>802</v>
      </c>
    </row>
    <row r="184" spans="1:15" hidden="1" x14ac:dyDescent="0.25">
      <c r="A184" s="50" t="s">
        <v>301</v>
      </c>
      <c r="B184" s="26" t="s">
        <v>302</v>
      </c>
      <c r="C184" s="26" t="s">
        <v>302</v>
      </c>
      <c r="D184" s="27" t="s">
        <v>302</v>
      </c>
      <c r="E184" s="28">
        <v>44196</v>
      </c>
      <c r="F184" s="29">
        <v>3509.28</v>
      </c>
      <c r="G184" s="29">
        <v>-2809.41</v>
      </c>
      <c r="H184" s="29">
        <v>699.87</v>
      </c>
      <c r="I184" s="29">
        <f t="shared" si="3"/>
        <v>965.11161977031134</v>
      </c>
      <c r="J184" s="29">
        <f t="shared" si="3"/>
        <v>-772.6354795567496</v>
      </c>
      <c r="K184" s="29">
        <f t="shared" si="3"/>
        <v>192.47614021356171</v>
      </c>
      <c r="L184" s="9" t="s">
        <v>12</v>
      </c>
      <c r="M184" s="1" t="s">
        <v>59</v>
      </c>
      <c r="N184" s="1" t="s">
        <v>806</v>
      </c>
      <c r="O184" s="1" t="s">
        <v>802</v>
      </c>
    </row>
    <row r="185" spans="1:15" hidden="1" x14ac:dyDescent="0.25">
      <c r="A185" s="50" t="s">
        <v>303</v>
      </c>
      <c r="B185" s="26" t="s">
        <v>302</v>
      </c>
      <c r="C185" s="26" t="s">
        <v>302</v>
      </c>
      <c r="D185" s="27" t="s">
        <v>302</v>
      </c>
      <c r="E185" s="28">
        <v>44196</v>
      </c>
      <c r="F185" s="29">
        <v>3509.29</v>
      </c>
      <c r="G185" s="29">
        <v>-2809.41</v>
      </c>
      <c r="H185" s="29">
        <v>699.88</v>
      </c>
      <c r="I185" s="29">
        <f t="shared" si="3"/>
        <v>965.11436994020301</v>
      </c>
      <c r="J185" s="29">
        <f t="shared" si="3"/>
        <v>-772.6354795567496</v>
      </c>
      <c r="K185" s="29">
        <f t="shared" si="3"/>
        <v>192.47889038345343</v>
      </c>
      <c r="L185" s="9" t="s">
        <v>12</v>
      </c>
      <c r="M185" s="1" t="s">
        <v>59</v>
      </c>
      <c r="N185" s="1" t="s">
        <v>806</v>
      </c>
      <c r="O185" s="1" t="s">
        <v>802</v>
      </c>
    </row>
    <row r="186" spans="1:15" hidden="1" x14ac:dyDescent="0.25">
      <c r="A186" s="50" t="s">
        <v>304</v>
      </c>
      <c r="B186" s="26" t="s">
        <v>302</v>
      </c>
      <c r="C186" s="26" t="s">
        <v>302</v>
      </c>
      <c r="D186" s="27" t="s">
        <v>302</v>
      </c>
      <c r="E186" s="22">
        <v>44196</v>
      </c>
      <c r="F186" s="23">
        <v>4409.51</v>
      </c>
      <c r="G186" s="23">
        <v>-3529.89</v>
      </c>
      <c r="H186" s="29">
        <v>879.62</v>
      </c>
      <c r="I186" s="23">
        <f t="shared" si="3"/>
        <v>1212.6901639348771</v>
      </c>
      <c r="J186" s="23">
        <f t="shared" si="3"/>
        <v>-970.77971991719789</v>
      </c>
      <c r="K186" s="23">
        <f t="shared" si="3"/>
        <v>241.9104440176792</v>
      </c>
      <c r="L186" s="9" t="s">
        <v>12</v>
      </c>
      <c r="M186" s="1" t="s">
        <v>59</v>
      </c>
      <c r="N186" s="1" t="s">
        <v>806</v>
      </c>
      <c r="O186" s="1" t="s">
        <v>802</v>
      </c>
    </row>
    <row r="187" spans="1:15" hidden="1" x14ac:dyDescent="0.25">
      <c r="A187" s="50" t="s">
        <v>305</v>
      </c>
      <c r="B187" s="26" t="s">
        <v>302</v>
      </c>
      <c r="C187" s="26" t="s">
        <v>302</v>
      </c>
      <c r="D187" s="27" t="s">
        <v>302</v>
      </c>
      <c r="E187" s="22">
        <v>44196</v>
      </c>
      <c r="F187" s="23">
        <v>3509.29</v>
      </c>
      <c r="G187" s="23">
        <v>-2809.41</v>
      </c>
      <c r="H187" s="29">
        <v>699.88</v>
      </c>
      <c r="I187" s="23">
        <f t="shared" si="3"/>
        <v>965.11436994020301</v>
      </c>
      <c r="J187" s="23">
        <f t="shared" si="3"/>
        <v>-772.6354795567496</v>
      </c>
      <c r="K187" s="23">
        <f t="shared" si="3"/>
        <v>192.47889038345343</v>
      </c>
      <c r="L187" s="9" t="s">
        <v>12</v>
      </c>
      <c r="M187" s="1" t="s">
        <v>59</v>
      </c>
      <c r="N187" s="1" t="s">
        <v>806</v>
      </c>
      <c r="O187" s="1" t="s">
        <v>802</v>
      </c>
    </row>
    <row r="188" spans="1:15" hidden="1" x14ac:dyDescent="0.25">
      <c r="A188" s="50" t="s">
        <v>306</v>
      </c>
      <c r="B188" s="26" t="s">
        <v>307</v>
      </c>
      <c r="C188" s="26" t="s">
        <v>307</v>
      </c>
      <c r="D188" s="27" t="s">
        <v>307</v>
      </c>
      <c r="E188" s="28">
        <v>44196</v>
      </c>
      <c r="F188" s="29">
        <v>4626.72</v>
      </c>
      <c r="G188" s="29">
        <v>-3703.77</v>
      </c>
      <c r="H188" s="29">
        <v>922.95</v>
      </c>
      <c r="I188" s="29">
        <f t="shared" si="3"/>
        <v>1272.4266041534715</v>
      </c>
      <c r="J188" s="29">
        <f t="shared" si="3"/>
        <v>-1018.5996739948611</v>
      </c>
      <c r="K188" s="29">
        <f t="shared" si="3"/>
        <v>253.82693015861057</v>
      </c>
      <c r="L188" s="9" t="s">
        <v>12</v>
      </c>
      <c r="M188" s="1" t="s">
        <v>59</v>
      </c>
      <c r="N188" s="1" t="s">
        <v>806</v>
      </c>
      <c r="O188" s="1" t="s">
        <v>802</v>
      </c>
    </row>
    <row r="189" spans="1:15" hidden="1" x14ac:dyDescent="0.25">
      <c r="A189" s="50" t="s">
        <v>308</v>
      </c>
      <c r="B189" s="26" t="s">
        <v>307</v>
      </c>
      <c r="C189" s="26" t="s">
        <v>307</v>
      </c>
      <c r="D189" s="27" t="s">
        <v>307</v>
      </c>
      <c r="E189" s="22">
        <v>44196</v>
      </c>
      <c r="F189" s="23">
        <v>3911.07</v>
      </c>
      <c r="G189" s="23">
        <v>-3130.74</v>
      </c>
      <c r="H189" s="29">
        <v>780.33</v>
      </c>
      <c r="I189" s="23">
        <f t="shared" si="3"/>
        <v>1075.6106958507362</v>
      </c>
      <c r="J189" s="23">
        <f t="shared" si="3"/>
        <v>-861.00668868819366</v>
      </c>
      <c r="K189" s="23">
        <f t="shared" si="3"/>
        <v>214.60400716254247</v>
      </c>
      <c r="L189" s="9" t="s">
        <v>12</v>
      </c>
      <c r="M189" s="1" t="s">
        <v>59</v>
      </c>
      <c r="N189" s="1" t="s">
        <v>806</v>
      </c>
      <c r="O189" s="1" t="s">
        <v>802</v>
      </c>
    </row>
    <row r="190" spans="1:15" hidden="1" x14ac:dyDescent="0.25">
      <c r="A190" s="50" t="s">
        <v>309</v>
      </c>
      <c r="B190" s="26" t="s">
        <v>310</v>
      </c>
      <c r="C190" s="26" t="s">
        <v>310</v>
      </c>
      <c r="D190" s="27" t="s">
        <v>310</v>
      </c>
      <c r="E190" s="28">
        <v>44196</v>
      </c>
      <c r="F190" s="29">
        <v>3911.06</v>
      </c>
      <c r="G190" s="29">
        <v>-3130.74</v>
      </c>
      <c r="H190" s="29">
        <v>780.32</v>
      </c>
      <c r="I190" s="29">
        <f t="shared" si="3"/>
        <v>1075.6079456808445</v>
      </c>
      <c r="J190" s="29">
        <f t="shared" si="3"/>
        <v>-861.00668868819366</v>
      </c>
      <c r="K190" s="29">
        <f t="shared" si="3"/>
        <v>214.60125699265075</v>
      </c>
      <c r="L190" s="9" t="s">
        <v>12</v>
      </c>
      <c r="M190" s="1" t="s">
        <v>59</v>
      </c>
      <c r="N190" s="1" t="s">
        <v>806</v>
      </c>
      <c r="O190" s="1" t="s">
        <v>802</v>
      </c>
    </row>
    <row r="191" spans="1:15" hidden="1" x14ac:dyDescent="0.25">
      <c r="A191" s="50" t="s">
        <v>311</v>
      </c>
      <c r="B191" s="26" t="s">
        <v>310</v>
      </c>
      <c r="C191" s="26" t="s">
        <v>310</v>
      </c>
      <c r="D191" s="27" t="s">
        <v>310</v>
      </c>
      <c r="E191" s="28">
        <v>44196</v>
      </c>
      <c r="F191" s="29">
        <v>3911.07</v>
      </c>
      <c r="G191" s="29">
        <v>-3130.74</v>
      </c>
      <c r="H191" s="29">
        <v>780.33</v>
      </c>
      <c r="I191" s="29">
        <f t="shared" si="3"/>
        <v>1075.6106958507362</v>
      </c>
      <c r="J191" s="29">
        <f t="shared" si="3"/>
        <v>-861.00668868819366</v>
      </c>
      <c r="K191" s="29">
        <f t="shared" si="3"/>
        <v>214.60400716254247</v>
      </c>
      <c r="L191" s="9" t="s">
        <v>12</v>
      </c>
      <c r="M191" s="1" t="s">
        <v>59</v>
      </c>
      <c r="N191" s="1" t="s">
        <v>806</v>
      </c>
      <c r="O191" s="1" t="s">
        <v>802</v>
      </c>
    </row>
    <row r="192" spans="1:15" hidden="1" x14ac:dyDescent="0.25">
      <c r="A192" s="50" t="s">
        <v>312</v>
      </c>
      <c r="B192" s="26" t="s">
        <v>310</v>
      </c>
      <c r="C192" s="26" t="s">
        <v>310</v>
      </c>
      <c r="D192" s="27" t="s">
        <v>310</v>
      </c>
      <c r="E192" s="22">
        <v>44196</v>
      </c>
      <c r="F192" s="23">
        <v>3911.07</v>
      </c>
      <c r="G192" s="23">
        <v>-3130.74</v>
      </c>
      <c r="H192" s="29">
        <v>780.33</v>
      </c>
      <c r="I192" s="23">
        <f t="shared" si="3"/>
        <v>1075.6106958507362</v>
      </c>
      <c r="J192" s="23">
        <f t="shared" si="3"/>
        <v>-861.00668868819366</v>
      </c>
      <c r="K192" s="23">
        <f t="shared" si="3"/>
        <v>214.60400716254247</v>
      </c>
      <c r="L192" s="9" t="s">
        <v>12</v>
      </c>
      <c r="M192" s="1" t="s">
        <v>59</v>
      </c>
      <c r="N192" s="1" t="s">
        <v>806</v>
      </c>
      <c r="O192" s="1" t="s">
        <v>802</v>
      </c>
    </row>
    <row r="193" spans="1:15" hidden="1" x14ac:dyDescent="0.25">
      <c r="A193" s="50" t="s">
        <v>313</v>
      </c>
      <c r="B193" s="26" t="s">
        <v>310</v>
      </c>
      <c r="C193" s="26" t="s">
        <v>310</v>
      </c>
      <c r="D193" s="27" t="s">
        <v>310</v>
      </c>
      <c r="E193" s="22">
        <v>44196</v>
      </c>
      <c r="F193" s="23">
        <v>3911.07</v>
      </c>
      <c r="G193" s="23">
        <v>-3130.74</v>
      </c>
      <c r="H193" s="29">
        <v>780.33</v>
      </c>
      <c r="I193" s="23">
        <f t="shared" si="3"/>
        <v>1075.6106958507362</v>
      </c>
      <c r="J193" s="23">
        <f t="shared" si="3"/>
        <v>-861.00668868819366</v>
      </c>
      <c r="K193" s="23">
        <f t="shared" si="3"/>
        <v>214.60400716254247</v>
      </c>
      <c r="L193" s="9" t="s">
        <v>12</v>
      </c>
      <c r="M193" s="1" t="s">
        <v>59</v>
      </c>
      <c r="N193" s="1" t="s">
        <v>806</v>
      </c>
      <c r="O193" s="1" t="s">
        <v>802</v>
      </c>
    </row>
    <row r="194" spans="1:15" hidden="1" x14ac:dyDescent="0.25">
      <c r="A194" s="50" t="s">
        <v>314</v>
      </c>
      <c r="B194" s="26" t="s">
        <v>310</v>
      </c>
      <c r="C194" s="26" t="s">
        <v>310</v>
      </c>
      <c r="D194" s="27" t="s">
        <v>310</v>
      </c>
      <c r="E194" s="22">
        <v>44196</v>
      </c>
      <c r="F194" s="23">
        <v>4799.37</v>
      </c>
      <c r="G194" s="23">
        <v>-3842.1</v>
      </c>
      <c r="H194" s="29">
        <v>957.27</v>
      </c>
      <c r="I194" s="23">
        <f t="shared" si="3"/>
        <v>1319.9082873344501</v>
      </c>
      <c r="J194" s="23">
        <f t="shared" si="3"/>
        <v>-1056.6427741073705</v>
      </c>
      <c r="K194" s="23">
        <f t="shared" si="3"/>
        <v>263.26551322707962</v>
      </c>
      <c r="L194" s="9" t="s">
        <v>12</v>
      </c>
      <c r="M194" s="1" t="s">
        <v>59</v>
      </c>
      <c r="N194" s="1" t="s">
        <v>806</v>
      </c>
      <c r="O194" s="1" t="s">
        <v>802</v>
      </c>
    </row>
    <row r="195" spans="1:15" hidden="1" x14ac:dyDescent="0.25">
      <c r="A195" s="50" t="s">
        <v>315</v>
      </c>
      <c r="B195" s="26" t="s">
        <v>310</v>
      </c>
      <c r="C195" s="26" t="s">
        <v>310</v>
      </c>
      <c r="D195" s="27" t="s">
        <v>310</v>
      </c>
      <c r="E195" s="22">
        <v>44196</v>
      </c>
      <c r="F195" s="23">
        <v>3911.07</v>
      </c>
      <c r="G195" s="23">
        <v>-3130.74</v>
      </c>
      <c r="H195" s="29">
        <v>780.33</v>
      </c>
      <c r="I195" s="23">
        <f t="shared" si="3"/>
        <v>1075.6106958507362</v>
      </c>
      <c r="J195" s="23">
        <f t="shared" si="3"/>
        <v>-861.00668868819366</v>
      </c>
      <c r="K195" s="23">
        <f t="shared" si="3"/>
        <v>214.60400716254247</v>
      </c>
      <c r="L195" s="9" t="s">
        <v>12</v>
      </c>
      <c r="M195" s="1" t="s">
        <v>59</v>
      </c>
      <c r="N195" s="1" t="s">
        <v>806</v>
      </c>
      <c r="O195" s="1" t="s">
        <v>802</v>
      </c>
    </row>
    <row r="196" spans="1:15" hidden="1" x14ac:dyDescent="0.25">
      <c r="A196" s="50" t="s">
        <v>316</v>
      </c>
      <c r="B196" s="26" t="s">
        <v>310</v>
      </c>
      <c r="C196" s="26" t="s">
        <v>310</v>
      </c>
      <c r="D196" s="27" t="s">
        <v>310</v>
      </c>
      <c r="E196" s="22">
        <v>44196</v>
      </c>
      <c r="F196" s="23">
        <v>3911.07</v>
      </c>
      <c r="G196" s="23">
        <v>-3130.74</v>
      </c>
      <c r="H196" s="29">
        <v>780.33</v>
      </c>
      <c r="I196" s="23">
        <f t="shared" si="3"/>
        <v>1075.6106958507362</v>
      </c>
      <c r="J196" s="23">
        <f t="shared" si="3"/>
        <v>-861.00668868819366</v>
      </c>
      <c r="K196" s="23">
        <f t="shared" si="3"/>
        <v>214.60400716254247</v>
      </c>
      <c r="L196" s="9" t="s">
        <v>12</v>
      </c>
      <c r="M196" s="1" t="s">
        <v>59</v>
      </c>
      <c r="N196" s="1" t="s">
        <v>806</v>
      </c>
      <c r="O196" s="1" t="s">
        <v>802</v>
      </c>
    </row>
    <row r="197" spans="1:15" hidden="1" x14ac:dyDescent="0.25">
      <c r="A197" s="50" t="s">
        <v>317</v>
      </c>
      <c r="B197" s="26" t="s">
        <v>318</v>
      </c>
      <c r="C197" s="26" t="s">
        <v>318</v>
      </c>
      <c r="D197" s="27" t="s">
        <v>318</v>
      </c>
      <c r="E197" s="28">
        <v>44196</v>
      </c>
      <c r="F197" s="29">
        <v>5493.07</v>
      </c>
      <c r="G197" s="29">
        <v>-4397.3500000000004</v>
      </c>
      <c r="H197" s="29">
        <v>1095.72</v>
      </c>
      <c r="I197" s="29">
        <f t="shared" si="3"/>
        <v>1510.687572724805</v>
      </c>
      <c r="J197" s="29">
        <f t="shared" si="3"/>
        <v>-1209.3459573465152</v>
      </c>
      <c r="K197" s="29">
        <f t="shared" si="3"/>
        <v>301.34161537828999</v>
      </c>
      <c r="L197" s="9" t="s">
        <v>12</v>
      </c>
      <c r="M197" s="1" t="s">
        <v>59</v>
      </c>
      <c r="N197" s="1" t="s">
        <v>806</v>
      </c>
      <c r="O197" s="1" t="s">
        <v>802</v>
      </c>
    </row>
    <row r="198" spans="1:15" hidden="1" x14ac:dyDescent="0.25">
      <c r="A198" s="50" t="s">
        <v>319</v>
      </c>
      <c r="B198" s="26" t="s">
        <v>318</v>
      </c>
      <c r="C198" s="26" t="s">
        <v>318</v>
      </c>
      <c r="D198" s="27" t="s">
        <v>318</v>
      </c>
      <c r="E198" s="28">
        <v>44196</v>
      </c>
      <c r="F198" s="29">
        <v>5493.07</v>
      </c>
      <c r="G198" s="29">
        <v>-4397.3500000000004</v>
      </c>
      <c r="H198" s="29">
        <v>1095.72</v>
      </c>
      <c r="I198" s="29">
        <f t="shared" ref="I198:K261" si="4">F198/3.636139</f>
        <v>1510.687572724805</v>
      </c>
      <c r="J198" s="29">
        <f t="shared" si="4"/>
        <v>-1209.3459573465152</v>
      </c>
      <c r="K198" s="29">
        <f t="shared" si="4"/>
        <v>301.34161537828999</v>
      </c>
      <c r="L198" s="9" t="s">
        <v>12</v>
      </c>
      <c r="M198" s="1" t="s">
        <v>59</v>
      </c>
      <c r="N198" s="1" t="s">
        <v>806</v>
      </c>
      <c r="O198" s="1" t="s">
        <v>802</v>
      </c>
    </row>
    <row r="199" spans="1:15" hidden="1" x14ac:dyDescent="0.25">
      <c r="A199" s="50" t="s">
        <v>320</v>
      </c>
      <c r="B199" s="26" t="s">
        <v>318</v>
      </c>
      <c r="C199" s="26" t="s">
        <v>318</v>
      </c>
      <c r="D199" s="27" t="s">
        <v>318</v>
      </c>
      <c r="E199" s="22">
        <v>44196</v>
      </c>
      <c r="F199" s="23">
        <v>5493.07</v>
      </c>
      <c r="G199" s="23">
        <v>-4397.3500000000004</v>
      </c>
      <c r="H199" s="29">
        <v>1095.72</v>
      </c>
      <c r="I199" s="23">
        <f t="shared" si="4"/>
        <v>1510.687572724805</v>
      </c>
      <c r="J199" s="23">
        <f t="shared" si="4"/>
        <v>-1209.3459573465152</v>
      </c>
      <c r="K199" s="23">
        <f t="shared" si="4"/>
        <v>301.34161537828999</v>
      </c>
      <c r="L199" s="9" t="s">
        <v>12</v>
      </c>
      <c r="M199" s="1" t="s">
        <v>59</v>
      </c>
      <c r="N199" s="1" t="s">
        <v>806</v>
      </c>
      <c r="O199" s="1" t="s">
        <v>802</v>
      </c>
    </row>
    <row r="200" spans="1:15" hidden="1" x14ac:dyDescent="0.25">
      <c r="A200" s="50" t="s">
        <v>321</v>
      </c>
      <c r="B200" s="26" t="s">
        <v>318</v>
      </c>
      <c r="C200" s="26" t="s">
        <v>318</v>
      </c>
      <c r="D200" s="27" t="s">
        <v>318</v>
      </c>
      <c r="E200" s="22">
        <v>44196</v>
      </c>
      <c r="F200" s="23">
        <v>5493.08</v>
      </c>
      <c r="G200" s="23">
        <v>-4397.3500000000004</v>
      </c>
      <c r="H200" s="29">
        <v>1095.73</v>
      </c>
      <c r="I200" s="23">
        <f t="shared" si="4"/>
        <v>1510.6903228946967</v>
      </c>
      <c r="J200" s="23">
        <f t="shared" si="4"/>
        <v>-1209.3459573465152</v>
      </c>
      <c r="K200" s="23">
        <f t="shared" si="4"/>
        <v>301.34436554818177</v>
      </c>
      <c r="L200" s="9" t="s">
        <v>12</v>
      </c>
      <c r="M200" s="1" t="s">
        <v>59</v>
      </c>
      <c r="N200" s="1" t="s">
        <v>806</v>
      </c>
      <c r="O200" s="1" t="s">
        <v>802</v>
      </c>
    </row>
    <row r="201" spans="1:15" hidden="1" x14ac:dyDescent="0.25">
      <c r="A201" s="50" t="s">
        <v>322</v>
      </c>
      <c r="B201" s="26" t="s">
        <v>252</v>
      </c>
      <c r="C201" s="26" t="s">
        <v>252</v>
      </c>
      <c r="D201" s="27" t="s">
        <v>252</v>
      </c>
      <c r="E201" s="28">
        <v>44196</v>
      </c>
      <c r="F201" s="29">
        <v>5493.07</v>
      </c>
      <c r="G201" s="29">
        <v>-4397.3500000000004</v>
      </c>
      <c r="H201" s="29">
        <v>1095.72</v>
      </c>
      <c r="I201" s="29">
        <f t="shared" si="4"/>
        <v>1510.687572724805</v>
      </c>
      <c r="J201" s="29">
        <f t="shared" si="4"/>
        <v>-1209.3459573465152</v>
      </c>
      <c r="K201" s="29">
        <f t="shared" si="4"/>
        <v>301.34161537828999</v>
      </c>
      <c r="L201" s="9" t="s">
        <v>12</v>
      </c>
      <c r="M201" s="1" t="s">
        <v>59</v>
      </c>
      <c r="N201" s="1" t="s">
        <v>806</v>
      </c>
      <c r="O201" s="1" t="s">
        <v>802</v>
      </c>
    </row>
    <row r="202" spans="1:15" hidden="1" x14ac:dyDescent="0.25">
      <c r="A202" s="50" t="s">
        <v>323</v>
      </c>
      <c r="B202" s="26" t="s">
        <v>252</v>
      </c>
      <c r="C202" s="26" t="s">
        <v>252</v>
      </c>
      <c r="D202" s="27" t="s">
        <v>252</v>
      </c>
      <c r="E202" s="28">
        <v>44196</v>
      </c>
      <c r="F202" s="29">
        <v>5493.07</v>
      </c>
      <c r="G202" s="29">
        <v>-4397.3500000000004</v>
      </c>
      <c r="H202" s="29">
        <v>1095.72</v>
      </c>
      <c r="I202" s="29">
        <f t="shared" si="4"/>
        <v>1510.687572724805</v>
      </c>
      <c r="J202" s="29">
        <f t="shared" si="4"/>
        <v>-1209.3459573465152</v>
      </c>
      <c r="K202" s="29">
        <f t="shared" si="4"/>
        <v>301.34161537828999</v>
      </c>
      <c r="L202" s="9" t="s">
        <v>12</v>
      </c>
      <c r="M202" s="1" t="s">
        <v>59</v>
      </c>
      <c r="N202" s="1" t="s">
        <v>806</v>
      </c>
      <c r="O202" s="1" t="s">
        <v>802</v>
      </c>
    </row>
    <row r="203" spans="1:15" hidden="1" x14ac:dyDescent="0.25">
      <c r="A203" s="50" t="s">
        <v>324</v>
      </c>
      <c r="B203" s="26" t="s">
        <v>318</v>
      </c>
      <c r="C203" s="26" t="s">
        <v>318</v>
      </c>
      <c r="D203" s="27" t="s">
        <v>318</v>
      </c>
      <c r="E203" s="22">
        <v>44196</v>
      </c>
      <c r="F203" s="23">
        <v>5493.07</v>
      </c>
      <c r="G203" s="23">
        <v>-4397.3500000000004</v>
      </c>
      <c r="H203" s="29">
        <v>1095.72</v>
      </c>
      <c r="I203" s="23">
        <f t="shared" si="4"/>
        <v>1510.687572724805</v>
      </c>
      <c r="J203" s="23">
        <f t="shared" si="4"/>
        <v>-1209.3459573465152</v>
      </c>
      <c r="K203" s="23">
        <f t="shared" si="4"/>
        <v>301.34161537828999</v>
      </c>
      <c r="L203" s="9" t="s">
        <v>12</v>
      </c>
      <c r="M203" s="1" t="s">
        <v>59</v>
      </c>
      <c r="N203" s="1" t="s">
        <v>806</v>
      </c>
      <c r="O203" s="1" t="s">
        <v>802</v>
      </c>
    </row>
    <row r="204" spans="1:15" hidden="1" x14ac:dyDescent="0.25">
      <c r="A204" s="50" t="s">
        <v>325</v>
      </c>
      <c r="B204" s="26" t="s">
        <v>318</v>
      </c>
      <c r="C204" s="26" t="s">
        <v>318</v>
      </c>
      <c r="D204" s="27" t="s">
        <v>318</v>
      </c>
      <c r="E204" s="22">
        <v>44196</v>
      </c>
      <c r="F204" s="23">
        <v>5493.07</v>
      </c>
      <c r="G204" s="23">
        <v>-4397.3500000000004</v>
      </c>
      <c r="H204" s="29">
        <v>1095.72</v>
      </c>
      <c r="I204" s="23">
        <f t="shared" si="4"/>
        <v>1510.687572724805</v>
      </c>
      <c r="J204" s="23">
        <f t="shared" si="4"/>
        <v>-1209.3459573465152</v>
      </c>
      <c r="K204" s="23">
        <f t="shared" si="4"/>
        <v>301.34161537828999</v>
      </c>
      <c r="L204" s="9" t="s">
        <v>12</v>
      </c>
      <c r="M204" s="1" t="s">
        <v>59</v>
      </c>
      <c r="N204" s="1" t="s">
        <v>806</v>
      </c>
      <c r="O204" s="1" t="s">
        <v>802</v>
      </c>
    </row>
    <row r="205" spans="1:15" hidden="1" x14ac:dyDescent="0.25">
      <c r="A205" s="50" t="s">
        <v>326</v>
      </c>
      <c r="B205" s="26" t="s">
        <v>318</v>
      </c>
      <c r="C205" s="26" t="s">
        <v>318</v>
      </c>
      <c r="D205" s="27" t="s">
        <v>318</v>
      </c>
      <c r="E205" s="22">
        <v>44196</v>
      </c>
      <c r="F205" s="23">
        <v>5493.08</v>
      </c>
      <c r="G205" s="23">
        <v>-4397.3500000000004</v>
      </c>
      <c r="H205" s="29">
        <v>1095.73</v>
      </c>
      <c r="I205" s="23">
        <f t="shared" si="4"/>
        <v>1510.6903228946967</v>
      </c>
      <c r="J205" s="23">
        <f t="shared" si="4"/>
        <v>-1209.3459573465152</v>
      </c>
      <c r="K205" s="23">
        <f t="shared" si="4"/>
        <v>301.34436554818177</v>
      </c>
      <c r="L205" s="9" t="s">
        <v>12</v>
      </c>
      <c r="M205" s="1" t="s">
        <v>59</v>
      </c>
      <c r="N205" s="1" t="s">
        <v>806</v>
      </c>
      <c r="O205" s="1" t="s">
        <v>802</v>
      </c>
    </row>
    <row r="206" spans="1:15" hidden="1" x14ac:dyDescent="0.25">
      <c r="A206" s="50" t="s">
        <v>327</v>
      </c>
      <c r="B206" s="26" t="s">
        <v>328</v>
      </c>
      <c r="C206" s="26" t="s">
        <v>328</v>
      </c>
      <c r="D206" s="27" t="s">
        <v>328</v>
      </c>
      <c r="E206" s="28">
        <v>44196</v>
      </c>
      <c r="F206" s="29">
        <v>6032.96</v>
      </c>
      <c r="G206" s="29">
        <v>-4829.6400000000003</v>
      </c>
      <c r="H206" s="29">
        <v>1203.32</v>
      </c>
      <c r="I206" s="29">
        <f t="shared" si="4"/>
        <v>1659.1664950102293</v>
      </c>
      <c r="J206" s="29">
        <f t="shared" si="4"/>
        <v>-1328.2330515967624</v>
      </c>
      <c r="K206" s="29">
        <f t="shared" si="4"/>
        <v>330.93344341346688</v>
      </c>
      <c r="L206" s="9" t="s">
        <v>12</v>
      </c>
      <c r="M206" s="1" t="s">
        <v>59</v>
      </c>
      <c r="N206" s="1" t="s">
        <v>806</v>
      </c>
      <c r="O206" s="1" t="s">
        <v>802</v>
      </c>
    </row>
    <row r="207" spans="1:15" hidden="1" x14ac:dyDescent="0.25">
      <c r="A207" s="50" t="s">
        <v>329</v>
      </c>
      <c r="B207" s="26" t="s">
        <v>328</v>
      </c>
      <c r="C207" s="26" t="s">
        <v>328</v>
      </c>
      <c r="D207" s="27" t="s">
        <v>328</v>
      </c>
      <c r="E207" s="28">
        <v>44196</v>
      </c>
      <c r="F207" s="29">
        <v>6032.96</v>
      </c>
      <c r="G207" s="29">
        <v>-4829.6400000000003</v>
      </c>
      <c r="H207" s="29">
        <v>1203.32</v>
      </c>
      <c r="I207" s="29">
        <f t="shared" si="4"/>
        <v>1659.1664950102293</v>
      </c>
      <c r="J207" s="29">
        <f t="shared" si="4"/>
        <v>-1328.2330515967624</v>
      </c>
      <c r="K207" s="29">
        <f t="shared" si="4"/>
        <v>330.93344341346688</v>
      </c>
      <c r="L207" s="9" t="s">
        <v>12</v>
      </c>
      <c r="M207" s="1" t="s">
        <v>59</v>
      </c>
      <c r="N207" s="1" t="s">
        <v>806</v>
      </c>
      <c r="O207" s="1" t="s">
        <v>802</v>
      </c>
    </row>
    <row r="208" spans="1:15" hidden="1" x14ac:dyDescent="0.25">
      <c r="A208" s="50" t="s">
        <v>330</v>
      </c>
      <c r="B208" s="26" t="s">
        <v>328</v>
      </c>
      <c r="C208" s="26" t="s">
        <v>328</v>
      </c>
      <c r="D208" s="27" t="s">
        <v>328</v>
      </c>
      <c r="E208" s="22">
        <v>44196</v>
      </c>
      <c r="F208" s="23">
        <v>6032.96</v>
      </c>
      <c r="G208" s="23">
        <v>-4829.6400000000003</v>
      </c>
      <c r="H208" s="29">
        <v>1203.32</v>
      </c>
      <c r="I208" s="23">
        <f t="shared" si="4"/>
        <v>1659.1664950102293</v>
      </c>
      <c r="J208" s="23">
        <f t="shared" si="4"/>
        <v>-1328.2330515967624</v>
      </c>
      <c r="K208" s="23">
        <f t="shared" si="4"/>
        <v>330.93344341346688</v>
      </c>
      <c r="L208" s="9" t="s">
        <v>12</v>
      </c>
      <c r="M208" s="1" t="s">
        <v>59</v>
      </c>
      <c r="N208" s="1" t="s">
        <v>806</v>
      </c>
      <c r="O208" s="1" t="s">
        <v>802</v>
      </c>
    </row>
    <row r="209" spans="1:15" hidden="1" x14ac:dyDescent="0.25">
      <c r="A209" s="50" t="s">
        <v>331</v>
      </c>
      <c r="B209" s="26" t="s">
        <v>328</v>
      </c>
      <c r="C209" s="26" t="s">
        <v>328</v>
      </c>
      <c r="D209" s="27" t="s">
        <v>328</v>
      </c>
      <c r="E209" s="22">
        <v>44196</v>
      </c>
      <c r="F209" s="23">
        <v>7899.03</v>
      </c>
      <c r="G209" s="23">
        <v>-6323.45</v>
      </c>
      <c r="H209" s="29">
        <v>1575.58</v>
      </c>
      <c r="I209" s="23">
        <f t="shared" si="4"/>
        <v>2172.3674479991</v>
      </c>
      <c r="J209" s="23">
        <f t="shared" si="4"/>
        <v>-1739.0561801955316</v>
      </c>
      <c r="K209" s="23">
        <f t="shared" si="4"/>
        <v>433.31126780356857</v>
      </c>
      <c r="L209" s="9" t="s">
        <v>12</v>
      </c>
      <c r="M209" s="1" t="s">
        <v>59</v>
      </c>
      <c r="N209" s="1" t="s">
        <v>806</v>
      </c>
      <c r="O209" s="1" t="s">
        <v>802</v>
      </c>
    </row>
    <row r="210" spans="1:15" hidden="1" x14ac:dyDescent="0.25">
      <c r="A210" s="50" t="s">
        <v>332</v>
      </c>
      <c r="B210" s="26" t="s">
        <v>333</v>
      </c>
      <c r="C210" s="26" t="s">
        <v>333</v>
      </c>
      <c r="D210" s="27" t="s">
        <v>333</v>
      </c>
      <c r="E210" s="28">
        <v>44196</v>
      </c>
      <c r="F210" s="29">
        <v>6032.96</v>
      </c>
      <c r="G210" s="29">
        <v>-4829.6400000000003</v>
      </c>
      <c r="H210" s="29">
        <v>1203.32</v>
      </c>
      <c r="I210" s="29">
        <f t="shared" si="4"/>
        <v>1659.1664950102293</v>
      </c>
      <c r="J210" s="29">
        <f t="shared" si="4"/>
        <v>-1328.2330515967624</v>
      </c>
      <c r="K210" s="29">
        <f t="shared" si="4"/>
        <v>330.93344341346688</v>
      </c>
      <c r="L210" s="9" t="s">
        <v>12</v>
      </c>
      <c r="M210" s="1" t="s">
        <v>59</v>
      </c>
      <c r="N210" s="1" t="s">
        <v>806</v>
      </c>
      <c r="O210" s="1" t="s">
        <v>802</v>
      </c>
    </row>
    <row r="211" spans="1:15" hidden="1" x14ac:dyDescent="0.25">
      <c r="A211" s="50" t="s">
        <v>334</v>
      </c>
      <c r="B211" s="26" t="s">
        <v>335</v>
      </c>
      <c r="C211" s="26" t="s">
        <v>335</v>
      </c>
      <c r="D211" s="27" t="s">
        <v>335</v>
      </c>
      <c r="E211" s="28">
        <v>44196</v>
      </c>
      <c r="F211" s="29">
        <v>13999.46</v>
      </c>
      <c r="G211" s="29">
        <v>-11206.89</v>
      </c>
      <c r="H211" s="29">
        <v>2792.57</v>
      </c>
      <c r="I211" s="29">
        <f t="shared" si="4"/>
        <v>3850.0893392689331</v>
      </c>
      <c r="J211" s="29">
        <f t="shared" si="4"/>
        <v>-3082.0851458098823</v>
      </c>
      <c r="K211" s="29">
        <f t="shared" si="4"/>
        <v>768.00419345905095</v>
      </c>
      <c r="L211" s="9" t="s">
        <v>12</v>
      </c>
      <c r="M211" s="1" t="s">
        <v>59</v>
      </c>
      <c r="N211" s="1" t="s">
        <v>806</v>
      </c>
      <c r="O211" s="1" t="s">
        <v>802</v>
      </c>
    </row>
    <row r="212" spans="1:15" hidden="1" x14ac:dyDescent="0.25">
      <c r="A212" s="50" t="s">
        <v>336</v>
      </c>
      <c r="B212" s="26" t="s">
        <v>335</v>
      </c>
      <c r="C212" s="26" t="s">
        <v>335</v>
      </c>
      <c r="D212" s="27" t="s">
        <v>335</v>
      </c>
      <c r="E212" s="22">
        <v>44196</v>
      </c>
      <c r="F212" s="23">
        <v>9812.19</v>
      </c>
      <c r="G212" s="23">
        <v>-7855.2</v>
      </c>
      <c r="H212" s="29">
        <v>1956.99</v>
      </c>
      <c r="I212" s="23">
        <f t="shared" si="4"/>
        <v>2698.5189510081987</v>
      </c>
      <c r="J212" s="23">
        <f t="shared" si="4"/>
        <v>-2160.3134533635816</v>
      </c>
      <c r="K212" s="23">
        <f t="shared" si="4"/>
        <v>538.20549764461703</v>
      </c>
      <c r="L212" s="9" t="s">
        <v>12</v>
      </c>
      <c r="M212" s="1" t="s">
        <v>59</v>
      </c>
      <c r="N212" s="1" t="s">
        <v>806</v>
      </c>
      <c r="O212" s="1" t="s">
        <v>802</v>
      </c>
    </row>
    <row r="213" spans="1:15" hidden="1" x14ac:dyDescent="0.25">
      <c r="A213" s="50" t="s">
        <v>337</v>
      </c>
      <c r="B213" s="26" t="s">
        <v>338</v>
      </c>
      <c r="C213" s="26" t="s">
        <v>338</v>
      </c>
      <c r="D213" s="27" t="s">
        <v>338</v>
      </c>
      <c r="E213" s="28">
        <v>44196</v>
      </c>
      <c r="F213" s="29">
        <v>9812.18</v>
      </c>
      <c r="G213" s="29">
        <v>-7855.2</v>
      </c>
      <c r="H213" s="29">
        <v>1956.98</v>
      </c>
      <c r="I213" s="29">
        <f t="shared" si="4"/>
        <v>2698.5162008383068</v>
      </c>
      <c r="J213" s="29">
        <f t="shared" si="4"/>
        <v>-2160.3134533635816</v>
      </c>
      <c r="K213" s="29">
        <f t="shared" si="4"/>
        <v>538.20274747472524</v>
      </c>
      <c r="L213" s="9" t="s">
        <v>12</v>
      </c>
      <c r="M213" s="1" t="s">
        <v>59</v>
      </c>
      <c r="N213" s="1" t="s">
        <v>806</v>
      </c>
      <c r="O213" s="1" t="s">
        <v>802</v>
      </c>
    </row>
    <row r="214" spans="1:15" hidden="1" x14ac:dyDescent="0.25">
      <c r="A214" s="50" t="s">
        <v>339</v>
      </c>
      <c r="B214" s="26" t="s">
        <v>338</v>
      </c>
      <c r="C214" s="26" t="s">
        <v>338</v>
      </c>
      <c r="D214" s="27" t="s">
        <v>338</v>
      </c>
      <c r="E214" s="28">
        <v>44196</v>
      </c>
      <c r="F214" s="29">
        <v>9812.19</v>
      </c>
      <c r="G214" s="29">
        <v>-7855.2</v>
      </c>
      <c r="H214" s="29">
        <v>1956.99</v>
      </c>
      <c r="I214" s="29">
        <f t="shared" si="4"/>
        <v>2698.5189510081987</v>
      </c>
      <c r="J214" s="29">
        <f t="shared" si="4"/>
        <v>-2160.3134533635816</v>
      </c>
      <c r="K214" s="29">
        <f t="shared" si="4"/>
        <v>538.20549764461703</v>
      </c>
      <c r="L214" s="9" t="s">
        <v>12</v>
      </c>
      <c r="M214" s="1" t="s">
        <v>59</v>
      </c>
      <c r="N214" s="1" t="s">
        <v>806</v>
      </c>
      <c r="O214" s="1" t="s">
        <v>802</v>
      </c>
    </row>
    <row r="215" spans="1:15" hidden="1" x14ac:dyDescent="0.25">
      <c r="A215" s="50" t="s">
        <v>340</v>
      </c>
      <c r="B215" s="26" t="s">
        <v>338</v>
      </c>
      <c r="C215" s="26" t="s">
        <v>338</v>
      </c>
      <c r="D215" s="27" t="s">
        <v>338</v>
      </c>
      <c r="E215" s="22">
        <v>44196</v>
      </c>
      <c r="F215" s="23">
        <v>9812.19</v>
      </c>
      <c r="G215" s="23">
        <v>-7855.2</v>
      </c>
      <c r="H215" s="29">
        <v>1956.99</v>
      </c>
      <c r="I215" s="23">
        <f t="shared" si="4"/>
        <v>2698.5189510081987</v>
      </c>
      <c r="J215" s="23">
        <f t="shared" si="4"/>
        <v>-2160.3134533635816</v>
      </c>
      <c r="K215" s="23">
        <f t="shared" si="4"/>
        <v>538.20549764461703</v>
      </c>
      <c r="L215" s="9" t="s">
        <v>12</v>
      </c>
      <c r="M215" s="1" t="s">
        <v>59</v>
      </c>
      <c r="N215" s="1" t="s">
        <v>806</v>
      </c>
      <c r="O215" s="1" t="s">
        <v>802</v>
      </c>
    </row>
    <row r="216" spans="1:15" hidden="1" x14ac:dyDescent="0.25">
      <c r="A216" s="50" t="s">
        <v>341</v>
      </c>
      <c r="B216" s="26" t="s">
        <v>342</v>
      </c>
      <c r="C216" s="26" t="s">
        <v>342</v>
      </c>
      <c r="D216" s="27" t="s">
        <v>342</v>
      </c>
      <c r="E216" s="28">
        <v>44196</v>
      </c>
      <c r="F216" s="29">
        <v>12398.64</v>
      </c>
      <c r="G216" s="29">
        <v>-9925.39</v>
      </c>
      <c r="H216" s="29">
        <v>2473.25</v>
      </c>
      <c r="I216" s="29">
        <f t="shared" si="4"/>
        <v>3409.8366426585999</v>
      </c>
      <c r="J216" s="29">
        <f t="shared" si="4"/>
        <v>-2729.6508741827524</v>
      </c>
      <c r="K216" s="29">
        <f t="shared" si="4"/>
        <v>680.18576847584757</v>
      </c>
      <c r="L216" s="9" t="s">
        <v>12</v>
      </c>
      <c r="M216" s="1" t="s">
        <v>59</v>
      </c>
      <c r="N216" s="1" t="s">
        <v>806</v>
      </c>
      <c r="O216" s="1" t="s">
        <v>802</v>
      </c>
    </row>
    <row r="217" spans="1:15" hidden="1" x14ac:dyDescent="0.25">
      <c r="A217" s="50" t="s">
        <v>343</v>
      </c>
      <c r="B217" s="26" t="s">
        <v>342</v>
      </c>
      <c r="C217" s="26" t="s">
        <v>342</v>
      </c>
      <c r="D217" s="27" t="s">
        <v>342</v>
      </c>
      <c r="E217" s="28">
        <v>44196</v>
      </c>
      <c r="F217" s="29">
        <v>12398.64</v>
      </c>
      <c r="G217" s="29">
        <v>-9925.39</v>
      </c>
      <c r="H217" s="29">
        <v>2473.25</v>
      </c>
      <c r="I217" s="29">
        <f t="shared" si="4"/>
        <v>3409.8366426585999</v>
      </c>
      <c r="J217" s="29">
        <f t="shared" si="4"/>
        <v>-2729.6508741827524</v>
      </c>
      <c r="K217" s="29">
        <f t="shared" si="4"/>
        <v>680.18576847584757</v>
      </c>
      <c r="L217" s="9" t="s">
        <v>12</v>
      </c>
      <c r="M217" s="1" t="s">
        <v>59</v>
      </c>
      <c r="N217" s="1" t="s">
        <v>806</v>
      </c>
      <c r="O217" s="1" t="s">
        <v>802</v>
      </c>
    </row>
    <row r="218" spans="1:15" hidden="1" x14ac:dyDescent="0.25">
      <c r="A218" s="50" t="s">
        <v>344</v>
      </c>
      <c r="B218" s="26" t="s">
        <v>345</v>
      </c>
      <c r="C218" s="26" t="s">
        <v>345</v>
      </c>
      <c r="D218" s="27" t="s">
        <v>345</v>
      </c>
      <c r="E218" s="28">
        <v>44196</v>
      </c>
      <c r="F218" s="29">
        <v>12398.64</v>
      </c>
      <c r="G218" s="29">
        <v>-9925.39</v>
      </c>
      <c r="H218" s="29">
        <v>2473.25</v>
      </c>
      <c r="I218" s="29">
        <f t="shared" si="4"/>
        <v>3409.8366426585999</v>
      </c>
      <c r="J218" s="29">
        <f t="shared" si="4"/>
        <v>-2729.6508741827524</v>
      </c>
      <c r="K218" s="29">
        <f t="shared" si="4"/>
        <v>680.18576847584757</v>
      </c>
      <c r="L218" s="9" t="s">
        <v>12</v>
      </c>
      <c r="M218" s="1" t="s">
        <v>59</v>
      </c>
      <c r="N218" s="1" t="s">
        <v>806</v>
      </c>
      <c r="O218" s="1" t="s">
        <v>802</v>
      </c>
    </row>
    <row r="219" spans="1:15" hidden="1" x14ac:dyDescent="0.25">
      <c r="A219" s="50" t="s">
        <v>346</v>
      </c>
      <c r="B219" s="26" t="s">
        <v>345</v>
      </c>
      <c r="C219" s="26" t="s">
        <v>345</v>
      </c>
      <c r="D219" s="27" t="s">
        <v>345</v>
      </c>
      <c r="E219" s="22">
        <v>44196</v>
      </c>
      <c r="F219" s="23">
        <v>12398.64</v>
      </c>
      <c r="G219" s="23">
        <v>-9925.39</v>
      </c>
      <c r="H219" s="29">
        <v>2473.25</v>
      </c>
      <c r="I219" s="23">
        <f t="shared" si="4"/>
        <v>3409.8366426585999</v>
      </c>
      <c r="J219" s="23">
        <f t="shared" si="4"/>
        <v>-2729.6508741827524</v>
      </c>
      <c r="K219" s="23">
        <f t="shared" si="4"/>
        <v>680.18576847584757</v>
      </c>
      <c r="L219" s="9" t="s">
        <v>12</v>
      </c>
      <c r="M219" s="1" t="s">
        <v>59</v>
      </c>
      <c r="N219" s="1" t="s">
        <v>806</v>
      </c>
      <c r="O219" s="1" t="s">
        <v>802</v>
      </c>
    </row>
    <row r="220" spans="1:15" hidden="1" x14ac:dyDescent="0.25">
      <c r="A220" s="50" t="s">
        <v>347</v>
      </c>
      <c r="B220" s="26" t="s">
        <v>348</v>
      </c>
      <c r="C220" s="26" t="s">
        <v>348</v>
      </c>
      <c r="D220" s="27" t="s">
        <v>348</v>
      </c>
      <c r="E220" s="28">
        <v>44196</v>
      </c>
      <c r="F220" s="29">
        <v>17245.09</v>
      </c>
      <c r="G220" s="29">
        <v>-13805.43</v>
      </c>
      <c r="H220" s="29">
        <v>3439.66</v>
      </c>
      <c r="I220" s="29">
        <f t="shared" si="4"/>
        <v>4742.6927298433857</v>
      </c>
      <c r="J220" s="29">
        <f t="shared" si="4"/>
        <v>-3796.727792859404</v>
      </c>
      <c r="K220" s="29">
        <f t="shared" si="4"/>
        <v>945.96493698398217</v>
      </c>
      <c r="L220" s="9" t="s">
        <v>12</v>
      </c>
      <c r="M220" s="1" t="s">
        <v>59</v>
      </c>
      <c r="N220" s="1" t="s">
        <v>806</v>
      </c>
      <c r="O220" s="1" t="s">
        <v>802</v>
      </c>
    </row>
    <row r="221" spans="1:15" hidden="1" x14ac:dyDescent="0.25">
      <c r="A221" s="50" t="s">
        <v>349</v>
      </c>
      <c r="B221" s="26" t="s">
        <v>350</v>
      </c>
      <c r="C221" s="26" t="s">
        <v>350</v>
      </c>
      <c r="D221" s="27" t="s">
        <v>350</v>
      </c>
      <c r="E221" s="28">
        <v>44196</v>
      </c>
      <c r="F221" s="29">
        <v>20013.59</v>
      </c>
      <c r="G221" s="29">
        <v>-16021.64</v>
      </c>
      <c r="H221" s="29">
        <v>3991.95</v>
      </c>
      <c r="I221" s="29">
        <f t="shared" si="4"/>
        <v>5504.077264373007</v>
      </c>
      <c r="J221" s="29">
        <f t="shared" si="4"/>
        <v>-4406.2231944378364</v>
      </c>
      <c r="K221" s="29">
        <f t="shared" si="4"/>
        <v>1097.8540699351702</v>
      </c>
      <c r="L221" s="9" t="s">
        <v>12</v>
      </c>
      <c r="M221" s="1" t="s">
        <v>59</v>
      </c>
      <c r="N221" s="1" t="s">
        <v>806</v>
      </c>
      <c r="O221" s="1" t="s">
        <v>802</v>
      </c>
    </row>
    <row r="222" spans="1:15" hidden="1" x14ac:dyDescent="0.25">
      <c r="A222" s="50" t="s">
        <v>351</v>
      </c>
      <c r="B222" s="26" t="s">
        <v>350</v>
      </c>
      <c r="C222" s="26" t="s">
        <v>350</v>
      </c>
      <c r="D222" s="27" t="s">
        <v>350</v>
      </c>
      <c r="E222" s="28">
        <v>44196</v>
      </c>
      <c r="F222" s="29">
        <v>20015.16</v>
      </c>
      <c r="G222" s="29">
        <v>-16023.08</v>
      </c>
      <c r="H222" s="29">
        <v>3992.08</v>
      </c>
      <c r="I222" s="29">
        <f t="shared" si="4"/>
        <v>5504.5090410460107</v>
      </c>
      <c r="J222" s="29">
        <f t="shared" si="4"/>
        <v>-4406.6192189022477</v>
      </c>
      <c r="K222" s="29">
        <f t="shared" si="4"/>
        <v>1097.889822143763</v>
      </c>
      <c r="L222" s="9" t="s">
        <v>12</v>
      </c>
      <c r="M222" s="1" t="s">
        <v>59</v>
      </c>
      <c r="N222" s="1" t="s">
        <v>806</v>
      </c>
      <c r="O222" s="1" t="s">
        <v>802</v>
      </c>
    </row>
    <row r="223" spans="1:15" hidden="1" x14ac:dyDescent="0.25">
      <c r="A223" s="50" t="s">
        <v>352</v>
      </c>
      <c r="B223" s="26" t="s">
        <v>348</v>
      </c>
      <c r="C223" s="26" t="s">
        <v>348</v>
      </c>
      <c r="D223" s="27" t="s">
        <v>348</v>
      </c>
      <c r="E223" s="28">
        <v>44196</v>
      </c>
      <c r="F223" s="29">
        <v>17245.09</v>
      </c>
      <c r="G223" s="29">
        <v>-13805.43</v>
      </c>
      <c r="H223" s="29">
        <v>3439.66</v>
      </c>
      <c r="I223" s="29">
        <f t="shared" si="4"/>
        <v>4742.6927298433857</v>
      </c>
      <c r="J223" s="29">
        <f t="shared" si="4"/>
        <v>-3796.727792859404</v>
      </c>
      <c r="K223" s="29">
        <f t="shared" si="4"/>
        <v>945.96493698398217</v>
      </c>
      <c r="L223" s="9" t="s">
        <v>12</v>
      </c>
      <c r="M223" s="1" t="s">
        <v>59</v>
      </c>
      <c r="N223" s="1" t="s">
        <v>806</v>
      </c>
      <c r="O223" s="1" t="s">
        <v>802</v>
      </c>
    </row>
    <row r="224" spans="1:15" hidden="1" x14ac:dyDescent="0.25">
      <c r="A224" s="50" t="s">
        <v>353</v>
      </c>
      <c r="B224" s="26" t="s">
        <v>354</v>
      </c>
      <c r="C224" s="26" t="s">
        <v>354</v>
      </c>
      <c r="D224" s="27" t="s">
        <v>354</v>
      </c>
      <c r="E224" s="28">
        <v>44196</v>
      </c>
      <c r="F224" s="29">
        <v>27190.69</v>
      </c>
      <c r="G224" s="29">
        <v>-21767.26</v>
      </c>
      <c r="H224" s="29">
        <v>5423.43</v>
      </c>
      <c r="I224" s="29">
        <f t="shared" si="4"/>
        <v>7477.901697377355</v>
      </c>
      <c r="J224" s="29">
        <f t="shared" si="4"/>
        <v>-5986.3663077786623</v>
      </c>
      <c r="K224" s="29">
        <f t="shared" si="4"/>
        <v>1491.5353895986925</v>
      </c>
      <c r="L224" s="9" t="s">
        <v>12</v>
      </c>
      <c r="M224" s="1" t="s">
        <v>59</v>
      </c>
      <c r="N224" s="1" t="s">
        <v>806</v>
      </c>
      <c r="O224" s="1" t="s">
        <v>802</v>
      </c>
    </row>
    <row r="225" spans="1:15" hidden="1" x14ac:dyDescent="0.25">
      <c r="A225" s="50" t="s">
        <v>355</v>
      </c>
      <c r="B225" s="26" t="s">
        <v>356</v>
      </c>
      <c r="C225" s="26" t="s">
        <v>356</v>
      </c>
      <c r="D225" s="27" t="s">
        <v>356</v>
      </c>
      <c r="E225" s="28">
        <v>44196</v>
      </c>
      <c r="F225" s="29">
        <v>22392.87</v>
      </c>
      <c r="G225" s="29">
        <v>-17926.12</v>
      </c>
      <c r="H225" s="29">
        <v>4466.75</v>
      </c>
      <c r="I225" s="29">
        <f t="shared" si="4"/>
        <v>6158.4196863761254</v>
      </c>
      <c r="J225" s="29">
        <f t="shared" si="4"/>
        <v>-4929.9875499808995</v>
      </c>
      <c r="K225" s="29">
        <f t="shared" si="4"/>
        <v>1228.4321363952258</v>
      </c>
      <c r="L225" s="9" t="s">
        <v>12</v>
      </c>
      <c r="M225" s="1" t="s">
        <v>59</v>
      </c>
      <c r="N225" s="1" t="s">
        <v>806</v>
      </c>
      <c r="O225" s="1" t="s">
        <v>802</v>
      </c>
    </row>
    <row r="226" spans="1:15" hidden="1" x14ac:dyDescent="0.25">
      <c r="A226" s="50" t="s">
        <v>357</v>
      </c>
      <c r="B226" s="26" t="s">
        <v>356</v>
      </c>
      <c r="C226" s="26" t="s">
        <v>356</v>
      </c>
      <c r="D226" s="27" t="s">
        <v>356</v>
      </c>
      <c r="E226" s="28">
        <v>44196</v>
      </c>
      <c r="F226" s="29">
        <v>22392.880000000001</v>
      </c>
      <c r="G226" s="29">
        <v>-17926.12</v>
      </c>
      <c r="H226" s="29">
        <v>4466.76</v>
      </c>
      <c r="I226" s="29">
        <f t="shared" si="4"/>
        <v>6158.4224365460177</v>
      </c>
      <c r="J226" s="29">
        <f t="shared" si="4"/>
        <v>-4929.9875499808995</v>
      </c>
      <c r="K226" s="29">
        <f t="shared" si="4"/>
        <v>1228.4348865651177</v>
      </c>
      <c r="L226" s="9" t="s">
        <v>12</v>
      </c>
      <c r="M226" s="1" t="s">
        <v>59</v>
      </c>
      <c r="N226" s="1" t="s">
        <v>806</v>
      </c>
      <c r="O226" s="1" t="s">
        <v>802</v>
      </c>
    </row>
    <row r="227" spans="1:15" hidden="1" x14ac:dyDescent="0.25">
      <c r="A227" s="50" t="s">
        <v>358</v>
      </c>
      <c r="B227" s="26" t="s">
        <v>356</v>
      </c>
      <c r="C227" s="26" t="s">
        <v>356</v>
      </c>
      <c r="D227" s="27" t="s">
        <v>356</v>
      </c>
      <c r="E227" s="22">
        <v>44196</v>
      </c>
      <c r="F227" s="23">
        <v>32662.71</v>
      </c>
      <c r="G227" s="23">
        <v>-26147.8</v>
      </c>
      <c r="H227" s="29">
        <v>6514.91</v>
      </c>
      <c r="I227" s="23">
        <f t="shared" si="4"/>
        <v>8982.8001624800363</v>
      </c>
      <c r="J227" s="23">
        <f t="shared" si="4"/>
        <v>-7191.0892295371541</v>
      </c>
      <c r="K227" s="23">
        <f t="shared" si="4"/>
        <v>1791.7109329428824</v>
      </c>
      <c r="L227" s="9" t="s">
        <v>12</v>
      </c>
      <c r="M227" s="1" t="s">
        <v>59</v>
      </c>
      <c r="N227" s="1" t="s">
        <v>806</v>
      </c>
      <c r="O227" s="1" t="s">
        <v>802</v>
      </c>
    </row>
    <row r="228" spans="1:15" hidden="1" x14ac:dyDescent="0.25">
      <c r="A228" s="50" t="s">
        <v>359</v>
      </c>
      <c r="B228" s="26" t="s">
        <v>360</v>
      </c>
      <c r="C228" s="26" t="s">
        <v>360</v>
      </c>
      <c r="D228" s="27" t="s">
        <v>360</v>
      </c>
      <c r="E228" s="22">
        <v>44196</v>
      </c>
      <c r="F228" s="23">
        <v>4223.6899999999996</v>
      </c>
      <c r="G228" s="23">
        <v>-3380.99</v>
      </c>
      <c r="H228" s="29">
        <v>842.7</v>
      </c>
      <c r="I228" s="23">
        <f t="shared" si="4"/>
        <v>1161.5865070064701</v>
      </c>
      <c r="J228" s="23">
        <f t="shared" si="4"/>
        <v>-929.82969022911379</v>
      </c>
      <c r="K228" s="23">
        <f t="shared" si="4"/>
        <v>231.75681677735642</v>
      </c>
      <c r="L228" s="9" t="s">
        <v>12</v>
      </c>
      <c r="M228" s="1" t="s">
        <v>59</v>
      </c>
      <c r="N228" s="1" t="s">
        <v>806</v>
      </c>
      <c r="O228" s="1" t="s">
        <v>802</v>
      </c>
    </row>
    <row r="229" spans="1:15" hidden="1" x14ac:dyDescent="0.25">
      <c r="A229" s="50" t="s">
        <v>361</v>
      </c>
      <c r="B229" s="26" t="s">
        <v>362</v>
      </c>
      <c r="C229" s="26" t="s">
        <v>362</v>
      </c>
      <c r="D229" s="27" t="s">
        <v>362</v>
      </c>
      <c r="E229" s="28">
        <v>44196</v>
      </c>
      <c r="F229" s="29">
        <v>5282.77</v>
      </c>
      <c r="G229" s="29">
        <v>-4229.24</v>
      </c>
      <c r="H229" s="29">
        <v>1053.53</v>
      </c>
      <c r="I229" s="29">
        <f t="shared" si="4"/>
        <v>1452.8514999014064</v>
      </c>
      <c r="J229" s="29">
        <f t="shared" si="4"/>
        <v>-1163.1128512963887</v>
      </c>
      <c r="K229" s="29">
        <f t="shared" si="4"/>
        <v>289.73864860501754</v>
      </c>
      <c r="L229" s="9" t="s">
        <v>12</v>
      </c>
      <c r="M229" s="1" t="s">
        <v>59</v>
      </c>
      <c r="N229" s="1" t="s">
        <v>806</v>
      </c>
      <c r="O229" s="1" t="s">
        <v>802</v>
      </c>
    </row>
    <row r="230" spans="1:15" hidden="1" x14ac:dyDescent="0.25">
      <c r="A230" s="50" t="s">
        <v>363</v>
      </c>
      <c r="B230" s="26" t="s">
        <v>252</v>
      </c>
      <c r="C230" s="26" t="s">
        <v>252</v>
      </c>
      <c r="D230" s="27" t="s">
        <v>252</v>
      </c>
      <c r="E230" s="22">
        <v>44196</v>
      </c>
      <c r="F230" s="23">
        <v>5493.07</v>
      </c>
      <c r="G230" s="23">
        <v>-4397.3500000000004</v>
      </c>
      <c r="H230" s="29">
        <v>1095.72</v>
      </c>
      <c r="I230" s="23">
        <f t="shared" si="4"/>
        <v>1510.687572724805</v>
      </c>
      <c r="J230" s="23">
        <f t="shared" si="4"/>
        <v>-1209.3459573465152</v>
      </c>
      <c r="K230" s="23">
        <f t="shared" si="4"/>
        <v>301.34161537828999</v>
      </c>
      <c r="L230" s="9" t="s">
        <v>12</v>
      </c>
      <c r="M230" s="1" t="s">
        <v>59</v>
      </c>
      <c r="N230" s="1" t="s">
        <v>806</v>
      </c>
      <c r="O230" s="1" t="s">
        <v>802</v>
      </c>
    </row>
    <row r="231" spans="1:15" hidden="1" x14ac:dyDescent="0.25">
      <c r="A231" s="50" t="s">
        <v>364</v>
      </c>
      <c r="B231" s="26" t="s">
        <v>365</v>
      </c>
      <c r="C231" s="26" t="s">
        <v>365</v>
      </c>
      <c r="D231" s="27" t="s">
        <v>365</v>
      </c>
      <c r="E231" s="28">
        <v>44196</v>
      </c>
      <c r="F231" s="29">
        <v>7249.59</v>
      </c>
      <c r="G231" s="29">
        <v>-5803.74</v>
      </c>
      <c r="H231" s="29">
        <v>1445.85</v>
      </c>
      <c r="I231" s="29">
        <f t="shared" si="4"/>
        <v>1993.7604145496089</v>
      </c>
      <c r="J231" s="29">
        <f t="shared" si="4"/>
        <v>-1596.1271007516489</v>
      </c>
      <c r="K231" s="29">
        <f t="shared" si="4"/>
        <v>397.63331379795983</v>
      </c>
      <c r="L231" s="9" t="s">
        <v>12</v>
      </c>
      <c r="M231" s="1" t="s">
        <v>59</v>
      </c>
      <c r="N231" s="1" t="s">
        <v>806</v>
      </c>
      <c r="O231" s="1" t="s">
        <v>802</v>
      </c>
    </row>
    <row r="232" spans="1:15" hidden="1" x14ac:dyDescent="0.25">
      <c r="A232" s="50" t="s">
        <v>366</v>
      </c>
      <c r="B232" s="26" t="s">
        <v>365</v>
      </c>
      <c r="C232" s="26" t="s">
        <v>365</v>
      </c>
      <c r="D232" s="27" t="s">
        <v>365</v>
      </c>
      <c r="E232" s="22">
        <v>44196</v>
      </c>
      <c r="F232" s="23">
        <v>6032.96</v>
      </c>
      <c r="G232" s="23">
        <v>-4829.6400000000003</v>
      </c>
      <c r="H232" s="29">
        <v>1203.32</v>
      </c>
      <c r="I232" s="23">
        <f t="shared" si="4"/>
        <v>1659.1664950102293</v>
      </c>
      <c r="J232" s="23">
        <f t="shared" si="4"/>
        <v>-1328.2330515967624</v>
      </c>
      <c r="K232" s="23">
        <f t="shared" si="4"/>
        <v>330.93344341346688</v>
      </c>
      <c r="L232" s="9" t="s">
        <v>12</v>
      </c>
      <c r="M232" s="1" t="s">
        <v>59</v>
      </c>
      <c r="N232" s="1" t="s">
        <v>806</v>
      </c>
      <c r="O232" s="1" t="s">
        <v>802</v>
      </c>
    </row>
    <row r="233" spans="1:15" hidden="1" x14ac:dyDescent="0.25">
      <c r="A233" s="50" t="s">
        <v>367</v>
      </c>
      <c r="B233" s="26" t="s">
        <v>333</v>
      </c>
      <c r="C233" s="26" t="s">
        <v>333</v>
      </c>
      <c r="D233" s="27" t="s">
        <v>333</v>
      </c>
      <c r="E233" s="28">
        <v>44196</v>
      </c>
      <c r="F233" s="29">
        <v>6032.96</v>
      </c>
      <c r="G233" s="29">
        <v>-4829.6400000000003</v>
      </c>
      <c r="H233" s="29">
        <v>1203.32</v>
      </c>
      <c r="I233" s="29">
        <f t="shared" si="4"/>
        <v>1659.1664950102293</v>
      </c>
      <c r="J233" s="29">
        <f t="shared" si="4"/>
        <v>-1328.2330515967624</v>
      </c>
      <c r="K233" s="29">
        <f t="shared" si="4"/>
        <v>330.93344341346688</v>
      </c>
      <c r="L233" s="9" t="s">
        <v>12</v>
      </c>
      <c r="M233" s="1" t="s">
        <v>59</v>
      </c>
      <c r="N233" s="1" t="s">
        <v>806</v>
      </c>
      <c r="O233" s="1" t="s">
        <v>802</v>
      </c>
    </row>
    <row r="234" spans="1:15" hidden="1" x14ac:dyDescent="0.25">
      <c r="A234" s="50" t="s">
        <v>368</v>
      </c>
      <c r="B234" s="26" t="s">
        <v>342</v>
      </c>
      <c r="C234" s="26" t="s">
        <v>342</v>
      </c>
      <c r="D234" s="27" t="s">
        <v>342</v>
      </c>
      <c r="E234" s="22">
        <v>44196</v>
      </c>
      <c r="F234" s="23">
        <v>16793.09</v>
      </c>
      <c r="G234" s="23">
        <v>-13443.27</v>
      </c>
      <c r="H234" s="29">
        <v>3349.82</v>
      </c>
      <c r="I234" s="23">
        <f t="shared" si="4"/>
        <v>4618.3850507365096</v>
      </c>
      <c r="J234" s="23">
        <f t="shared" si="4"/>
        <v>-3697.127640059965</v>
      </c>
      <c r="K234" s="23">
        <f t="shared" si="4"/>
        <v>921.25741067654462</v>
      </c>
      <c r="L234" s="9" t="s">
        <v>12</v>
      </c>
      <c r="M234" s="1" t="s">
        <v>59</v>
      </c>
      <c r="N234" s="1" t="s">
        <v>806</v>
      </c>
      <c r="O234" s="1" t="s">
        <v>802</v>
      </c>
    </row>
    <row r="235" spans="1:15" hidden="1" x14ac:dyDescent="0.25">
      <c r="A235" s="50" t="s">
        <v>369</v>
      </c>
      <c r="B235" s="26" t="s">
        <v>350</v>
      </c>
      <c r="C235" s="26" t="s">
        <v>350</v>
      </c>
      <c r="D235" s="27" t="s">
        <v>350</v>
      </c>
      <c r="E235" s="28">
        <v>44196</v>
      </c>
      <c r="F235" s="29">
        <v>20015.16</v>
      </c>
      <c r="G235" s="29">
        <v>-16023.08</v>
      </c>
      <c r="H235" s="29">
        <v>3992.08</v>
      </c>
      <c r="I235" s="29">
        <f t="shared" si="4"/>
        <v>5504.5090410460107</v>
      </c>
      <c r="J235" s="29">
        <f t="shared" si="4"/>
        <v>-4406.6192189022477</v>
      </c>
      <c r="K235" s="29">
        <f t="shared" si="4"/>
        <v>1097.889822143763</v>
      </c>
      <c r="L235" s="9" t="s">
        <v>12</v>
      </c>
      <c r="M235" s="1" t="s">
        <v>59</v>
      </c>
      <c r="N235" s="1" t="s">
        <v>806</v>
      </c>
      <c r="O235" s="1" t="s">
        <v>802</v>
      </c>
    </row>
    <row r="236" spans="1:15" hidden="1" x14ac:dyDescent="0.25">
      <c r="A236" s="50" t="s">
        <v>370</v>
      </c>
      <c r="B236" s="26" t="s">
        <v>348</v>
      </c>
      <c r="C236" s="26" t="s">
        <v>348</v>
      </c>
      <c r="D236" s="27" t="s">
        <v>348</v>
      </c>
      <c r="E236" s="28">
        <v>44196</v>
      </c>
      <c r="F236" s="29">
        <v>17245.09</v>
      </c>
      <c r="G236" s="29">
        <v>-13805.43</v>
      </c>
      <c r="H236" s="29">
        <v>3439.66</v>
      </c>
      <c r="I236" s="29">
        <f t="shared" si="4"/>
        <v>4742.6927298433857</v>
      </c>
      <c r="J236" s="29">
        <f t="shared" si="4"/>
        <v>-3796.727792859404</v>
      </c>
      <c r="K236" s="29">
        <f t="shared" si="4"/>
        <v>945.96493698398217</v>
      </c>
      <c r="L236" s="9" t="s">
        <v>12</v>
      </c>
      <c r="M236" s="1" t="s">
        <v>59</v>
      </c>
      <c r="N236" s="1" t="s">
        <v>806</v>
      </c>
      <c r="O236" s="1" t="s">
        <v>802</v>
      </c>
    </row>
    <row r="237" spans="1:15" hidden="1" x14ac:dyDescent="0.25">
      <c r="A237" s="50" t="s">
        <v>371</v>
      </c>
      <c r="B237" s="26" t="s">
        <v>372</v>
      </c>
      <c r="C237" s="26" t="s">
        <v>372</v>
      </c>
      <c r="D237" s="27" t="s">
        <v>372</v>
      </c>
      <c r="E237" s="28">
        <v>44196</v>
      </c>
      <c r="F237" s="29">
        <v>5044.21</v>
      </c>
      <c r="G237" s="29">
        <v>-4038.07</v>
      </c>
      <c r="H237" s="29">
        <v>1006.14</v>
      </c>
      <c r="I237" s="29">
        <f t="shared" si="4"/>
        <v>1387.2434469639361</v>
      </c>
      <c r="J237" s="29">
        <f t="shared" si="4"/>
        <v>-1110.5378534758986</v>
      </c>
      <c r="K237" s="29">
        <f t="shared" si="4"/>
        <v>276.70559348803772</v>
      </c>
      <c r="L237" s="9" t="s">
        <v>12</v>
      </c>
      <c r="M237" s="1" t="s">
        <v>59</v>
      </c>
      <c r="N237" s="1" t="s">
        <v>806</v>
      </c>
      <c r="O237" s="1" t="s">
        <v>802</v>
      </c>
    </row>
    <row r="238" spans="1:15" hidden="1" x14ac:dyDescent="0.25">
      <c r="A238" s="50" t="s">
        <v>373</v>
      </c>
      <c r="B238" s="26" t="s">
        <v>372</v>
      </c>
      <c r="C238" s="26" t="s">
        <v>372</v>
      </c>
      <c r="D238" s="27" t="s">
        <v>372</v>
      </c>
      <c r="E238" s="28">
        <v>44196</v>
      </c>
      <c r="F238" s="29">
        <v>5044.21</v>
      </c>
      <c r="G238" s="29">
        <v>-4038.07</v>
      </c>
      <c r="H238" s="29">
        <v>1006.14</v>
      </c>
      <c r="I238" s="29">
        <f t="shared" si="4"/>
        <v>1387.2434469639361</v>
      </c>
      <c r="J238" s="29">
        <f t="shared" si="4"/>
        <v>-1110.5378534758986</v>
      </c>
      <c r="K238" s="29">
        <f t="shared" si="4"/>
        <v>276.70559348803772</v>
      </c>
      <c r="L238" s="9" t="s">
        <v>12</v>
      </c>
      <c r="M238" s="1" t="s">
        <v>59</v>
      </c>
      <c r="N238" s="1" t="s">
        <v>806</v>
      </c>
      <c r="O238" s="1" t="s">
        <v>802</v>
      </c>
    </row>
    <row r="239" spans="1:15" hidden="1" x14ac:dyDescent="0.25">
      <c r="A239" s="50" t="s">
        <v>374</v>
      </c>
      <c r="B239" s="26" t="s">
        <v>375</v>
      </c>
      <c r="C239" s="26" t="s">
        <v>375</v>
      </c>
      <c r="D239" s="27" t="s">
        <v>375</v>
      </c>
      <c r="E239" s="28">
        <v>44196</v>
      </c>
      <c r="F239" s="29">
        <v>9124.77</v>
      </c>
      <c r="G239" s="29">
        <v>-7304.75</v>
      </c>
      <c r="H239" s="29">
        <v>1820.02</v>
      </c>
      <c r="I239" s="29">
        <f t="shared" si="4"/>
        <v>2509.4667723098596</v>
      </c>
      <c r="J239" s="29">
        <f t="shared" si="4"/>
        <v>-2008.9303516724747</v>
      </c>
      <c r="K239" s="29">
        <f t="shared" si="4"/>
        <v>500.53642063738488</v>
      </c>
      <c r="L239" s="9" t="s">
        <v>12</v>
      </c>
      <c r="M239" s="1" t="s">
        <v>59</v>
      </c>
      <c r="N239" s="1" t="s">
        <v>806</v>
      </c>
      <c r="O239" s="1" t="s">
        <v>802</v>
      </c>
    </row>
    <row r="240" spans="1:15" hidden="1" x14ac:dyDescent="0.25">
      <c r="A240" s="50" t="s">
        <v>376</v>
      </c>
      <c r="B240" s="26" t="s">
        <v>375</v>
      </c>
      <c r="C240" s="26" t="s">
        <v>375</v>
      </c>
      <c r="D240" s="27" t="s">
        <v>375</v>
      </c>
      <c r="E240" s="28">
        <v>44196</v>
      </c>
      <c r="F240" s="29">
        <v>9124.77</v>
      </c>
      <c r="G240" s="29">
        <v>-7304.75</v>
      </c>
      <c r="H240" s="29">
        <v>1820.02</v>
      </c>
      <c r="I240" s="29">
        <f t="shared" si="4"/>
        <v>2509.4667723098596</v>
      </c>
      <c r="J240" s="29">
        <f t="shared" si="4"/>
        <v>-2008.9303516724747</v>
      </c>
      <c r="K240" s="29">
        <f t="shared" si="4"/>
        <v>500.53642063738488</v>
      </c>
      <c r="L240" s="9" t="s">
        <v>12</v>
      </c>
      <c r="M240" s="1" t="s">
        <v>59</v>
      </c>
      <c r="N240" s="1" t="s">
        <v>806</v>
      </c>
      <c r="O240" s="1" t="s">
        <v>802</v>
      </c>
    </row>
    <row r="241" spans="1:16" hidden="1" x14ac:dyDescent="0.25">
      <c r="A241" s="50" t="s">
        <v>377</v>
      </c>
      <c r="B241" s="26" t="s">
        <v>378</v>
      </c>
      <c r="C241" s="26" t="s">
        <v>378</v>
      </c>
      <c r="D241" s="27" t="s">
        <v>378</v>
      </c>
      <c r="E241" s="28">
        <v>44196</v>
      </c>
      <c r="F241" s="29">
        <v>9124.77</v>
      </c>
      <c r="G241" s="29">
        <v>-7304.75</v>
      </c>
      <c r="H241" s="29">
        <v>1820.02</v>
      </c>
      <c r="I241" s="29">
        <f t="shared" si="4"/>
        <v>2509.4667723098596</v>
      </c>
      <c r="J241" s="29">
        <f t="shared" si="4"/>
        <v>-2008.9303516724747</v>
      </c>
      <c r="K241" s="29">
        <f t="shared" si="4"/>
        <v>500.53642063738488</v>
      </c>
      <c r="L241" s="9" t="s">
        <v>12</v>
      </c>
      <c r="M241" s="1" t="s">
        <v>59</v>
      </c>
      <c r="N241" s="1" t="s">
        <v>806</v>
      </c>
      <c r="O241" s="1" t="s">
        <v>802</v>
      </c>
    </row>
    <row r="242" spans="1:16" hidden="1" x14ac:dyDescent="0.25">
      <c r="A242" s="50" t="s">
        <v>379</v>
      </c>
      <c r="B242" s="26" t="s">
        <v>380</v>
      </c>
      <c r="C242" s="26" t="s">
        <v>380</v>
      </c>
      <c r="D242" s="27" t="s">
        <v>380</v>
      </c>
      <c r="E242" s="28">
        <v>44196</v>
      </c>
      <c r="F242" s="29">
        <v>10374.040000000001</v>
      </c>
      <c r="G242" s="29">
        <v>-8304.7800000000007</v>
      </c>
      <c r="H242" s="29">
        <v>2069.2600000000002</v>
      </c>
      <c r="I242" s="29">
        <f t="shared" si="4"/>
        <v>2853.0372463758949</v>
      </c>
      <c r="J242" s="29">
        <f t="shared" si="4"/>
        <v>-2283.9555913566564</v>
      </c>
      <c r="K242" s="29">
        <f t="shared" si="4"/>
        <v>569.08165501923884</v>
      </c>
      <c r="L242" s="9" t="s">
        <v>12</v>
      </c>
      <c r="M242" s="1" t="s">
        <v>59</v>
      </c>
      <c r="N242" s="1" t="s">
        <v>806</v>
      </c>
      <c r="O242" s="1" t="s">
        <v>802</v>
      </c>
    </row>
    <row r="243" spans="1:16" hidden="1" x14ac:dyDescent="0.25">
      <c r="A243" s="50" t="s">
        <v>381</v>
      </c>
      <c r="B243" s="26" t="s">
        <v>382</v>
      </c>
      <c r="C243" s="26" t="s">
        <v>382</v>
      </c>
      <c r="D243" s="27" t="s">
        <v>382</v>
      </c>
      <c r="E243" s="28">
        <v>44196</v>
      </c>
      <c r="F243" s="29">
        <v>14903.48</v>
      </c>
      <c r="G243" s="29">
        <v>-11930.73</v>
      </c>
      <c r="H243" s="29">
        <v>2972.75</v>
      </c>
      <c r="I243" s="29">
        <f t="shared" si="4"/>
        <v>4098.71019782247</v>
      </c>
      <c r="J243" s="29">
        <f t="shared" si="4"/>
        <v>-3281.153443253957</v>
      </c>
      <c r="K243" s="29">
        <f t="shared" si="4"/>
        <v>817.5567545685135</v>
      </c>
      <c r="L243" s="9" t="s">
        <v>12</v>
      </c>
      <c r="M243" s="1" t="s">
        <v>59</v>
      </c>
      <c r="N243" s="1" t="s">
        <v>806</v>
      </c>
      <c r="O243" s="1" t="s">
        <v>802</v>
      </c>
    </row>
    <row r="244" spans="1:16" hidden="1" x14ac:dyDescent="0.25">
      <c r="A244" s="50" t="s">
        <v>383</v>
      </c>
      <c r="B244" s="26" t="s">
        <v>345</v>
      </c>
      <c r="C244" s="26" t="s">
        <v>345</v>
      </c>
      <c r="D244" s="27" t="s">
        <v>345</v>
      </c>
      <c r="E244" s="22">
        <v>44196</v>
      </c>
      <c r="F244" s="23">
        <v>16793.09</v>
      </c>
      <c r="G244" s="23">
        <v>-13443.27</v>
      </c>
      <c r="H244" s="29">
        <v>3349.82</v>
      </c>
      <c r="I244" s="23">
        <f t="shared" si="4"/>
        <v>4618.3850507365096</v>
      </c>
      <c r="J244" s="23">
        <f t="shared" si="4"/>
        <v>-3697.127640059965</v>
      </c>
      <c r="K244" s="23">
        <f t="shared" si="4"/>
        <v>921.25741067654462</v>
      </c>
      <c r="L244" s="9" t="s">
        <v>12</v>
      </c>
      <c r="M244" s="1" t="s">
        <v>59</v>
      </c>
      <c r="N244" s="1" t="s">
        <v>806</v>
      </c>
      <c r="O244" s="1" t="s">
        <v>802</v>
      </c>
    </row>
    <row r="245" spans="1:16" s="35" customFormat="1" hidden="1" x14ac:dyDescent="0.25">
      <c r="A245" s="52" t="s">
        <v>384</v>
      </c>
      <c r="B245" s="30" t="s">
        <v>385</v>
      </c>
      <c r="C245" s="30" t="s">
        <v>385</v>
      </c>
      <c r="D245" s="31" t="s">
        <v>386</v>
      </c>
      <c r="E245" s="32">
        <v>44378</v>
      </c>
      <c r="F245" s="33">
        <v>24445.97</v>
      </c>
      <c r="G245" s="33">
        <v>-17112.060000000001</v>
      </c>
      <c r="H245" s="33">
        <v>7333.91</v>
      </c>
      <c r="I245" s="33">
        <f t="shared" si="4"/>
        <v>6723.0570668503051</v>
      </c>
      <c r="J245" s="33">
        <f t="shared" si="4"/>
        <v>-4706.107219773502</v>
      </c>
      <c r="K245" s="33">
        <f t="shared" si="4"/>
        <v>2016.9498470768031</v>
      </c>
      <c r="L245" s="34" t="s">
        <v>12</v>
      </c>
      <c r="M245" s="35" t="s">
        <v>59</v>
      </c>
      <c r="N245" s="1" t="s">
        <v>805</v>
      </c>
      <c r="O245" s="1" t="s">
        <v>802</v>
      </c>
    </row>
    <row r="246" spans="1:16" hidden="1" x14ac:dyDescent="0.25">
      <c r="A246" s="50" t="s">
        <v>387</v>
      </c>
      <c r="B246" s="26" t="s">
        <v>388</v>
      </c>
      <c r="C246" s="26" t="s">
        <v>388</v>
      </c>
      <c r="D246" s="27" t="s">
        <v>386</v>
      </c>
      <c r="E246" s="28">
        <v>44378</v>
      </c>
      <c r="F246" s="29">
        <v>6188.13</v>
      </c>
      <c r="G246" s="29">
        <v>-4331.88</v>
      </c>
      <c r="H246" s="29">
        <v>1856.25</v>
      </c>
      <c r="I246" s="29">
        <f t="shared" si="4"/>
        <v>1701.8408812204375</v>
      </c>
      <c r="J246" s="29">
        <f t="shared" si="4"/>
        <v>-1191.3405950652602</v>
      </c>
      <c r="K246" s="29">
        <f t="shared" si="4"/>
        <v>510.50028615517721</v>
      </c>
      <c r="L246" s="9" t="s">
        <v>12</v>
      </c>
      <c r="M246" s="1" t="s">
        <v>59</v>
      </c>
      <c r="N246" s="1" t="s">
        <v>805</v>
      </c>
      <c r="O246" s="1" t="s">
        <v>802</v>
      </c>
    </row>
    <row r="247" spans="1:16" hidden="1" x14ac:dyDescent="0.25">
      <c r="A247" s="50" t="s">
        <v>389</v>
      </c>
      <c r="B247" s="26" t="s">
        <v>390</v>
      </c>
      <c r="C247" s="26" t="s">
        <v>390</v>
      </c>
      <c r="D247" s="27" t="s">
        <v>386</v>
      </c>
      <c r="E247" s="28">
        <v>44378</v>
      </c>
      <c r="F247" s="29">
        <v>24752.47</v>
      </c>
      <c r="G247" s="29">
        <v>-17326.68</v>
      </c>
      <c r="H247" s="29">
        <v>7425.79</v>
      </c>
      <c r="I247" s="29">
        <f t="shared" si="4"/>
        <v>6807.349774032291</v>
      </c>
      <c r="J247" s="29">
        <f t="shared" si="4"/>
        <v>-4765.1313659901343</v>
      </c>
      <c r="K247" s="29">
        <f t="shared" si="4"/>
        <v>2042.2184080421569</v>
      </c>
      <c r="L247" s="9" t="s">
        <v>12</v>
      </c>
      <c r="M247" s="1" t="s">
        <v>59</v>
      </c>
      <c r="N247" s="1" t="s">
        <v>805</v>
      </c>
      <c r="O247" s="1" t="s">
        <v>802</v>
      </c>
    </row>
    <row r="248" spans="1:16" hidden="1" x14ac:dyDescent="0.25">
      <c r="A248" s="50" t="s">
        <v>391</v>
      </c>
      <c r="B248" s="26" t="s">
        <v>392</v>
      </c>
      <c r="C248" s="26" t="s">
        <v>392</v>
      </c>
      <c r="D248" s="27" t="s">
        <v>386</v>
      </c>
      <c r="E248" s="28">
        <v>44378</v>
      </c>
      <c r="F248" s="29">
        <v>16347.96</v>
      </c>
      <c r="G248" s="29">
        <v>-11443.74</v>
      </c>
      <c r="H248" s="29">
        <v>4904.22</v>
      </c>
      <c r="I248" s="29">
        <f t="shared" si="4"/>
        <v>4495.9667383452606</v>
      </c>
      <c r="J248" s="29">
        <f t="shared" si="4"/>
        <v>-3147.2229196958642</v>
      </c>
      <c r="K248" s="29">
        <f t="shared" si="4"/>
        <v>1348.7438186493971</v>
      </c>
      <c r="L248" s="9" t="s">
        <v>12</v>
      </c>
      <c r="M248" s="1" t="s">
        <v>59</v>
      </c>
      <c r="N248" s="1" t="s">
        <v>805</v>
      </c>
      <c r="O248" s="1" t="s">
        <v>803</v>
      </c>
    </row>
    <row r="249" spans="1:16" hidden="1" x14ac:dyDescent="0.25">
      <c r="A249" s="50" t="s">
        <v>393</v>
      </c>
      <c r="B249" s="26" t="s">
        <v>392</v>
      </c>
      <c r="C249" s="26" t="s">
        <v>392</v>
      </c>
      <c r="D249" s="27" t="s">
        <v>386</v>
      </c>
      <c r="E249" s="28">
        <v>44378</v>
      </c>
      <c r="F249" s="29">
        <v>16001.4</v>
      </c>
      <c r="G249" s="29">
        <v>-11200.98</v>
      </c>
      <c r="H249" s="29">
        <v>4800.42</v>
      </c>
      <c r="I249" s="29">
        <f t="shared" si="4"/>
        <v>4400.6568505769446</v>
      </c>
      <c r="J249" s="29">
        <f t="shared" si="4"/>
        <v>-3080.4597954038609</v>
      </c>
      <c r="K249" s="29">
        <f t="shared" si="4"/>
        <v>1320.1970551730833</v>
      </c>
      <c r="L249" s="9" t="s">
        <v>12</v>
      </c>
      <c r="M249" s="1" t="s">
        <v>59</v>
      </c>
      <c r="N249" s="1" t="s">
        <v>805</v>
      </c>
      <c r="O249" s="1" t="s">
        <v>803</v>
      </c>
    </row>
    <row r="250" spans="1:16" s="41" customFormat="1" x14ac:dyDescent="0.25">
      <c r="A250" s="51" t="s">
        <v>394</v>
      </c>
      <c r="B250" s="36" t="s">
        <v>395</v>
      </c>
      <c r="C250" s="36" t="s">
        <v>395</v>
      </c>
      <c r="D250" s="37" t="s">
        <v>386</v>
      </c>
      <c r="E250" s="38">
        <v>44378</v>
      </c>
      <c r="F250" s="39">
        <v>990.09</v>
      </c>
      <c r="G250" s="39">
        <v>-693</v>
      </c>
      <c r="H250" s="39">
        <v>297.08999999999997</v>
      </c>
      <c r="I250" s="39">
        <f t="shared" si="4"/>
        <v>272.29157081178693</v>
      </c>
      <c r="J250" s="39">
        <f t="shared" si="4"/>
        <v>-190.58677349793282</v>
      </c>
      <c r="K250" s="39">
        <f t="shared" si="4"/>
        <v>81.704797313854058</v>
      </c>
      <c r="L250" s="40" t="s">
        <v>12</v>
      </c>
      <c r="M250" s="41" t="s">
        <v>59</v>
      </c>
      <c r="N250" s="41" t="s">
        <v>791</v>
      </c>
      <c r="P250" s="8">
        <v>297.08999999999997</v>
      </c>
    </row>
    <row r="251" spans="1:16" s="41" customFormat="1" x14ac:dyDescent="0.25">
      <c r="A251" s="51" t="s">
        <v>396</v>
      </c>
      <c r="B251" s="36" t="s">
        <v>395</v>
      </c>
      <c r="C251" s="36" t="s">
        <v>395</v>
      </c>
      <c r="D251" s="37" t="s">
        <v>386</v>
      </c>
      <c r="E251" s="38">
        <v>44378</v>
      </c>
      <c r="F251" s="39">
        <v>990.08</v>
      </c>
      <c r="G251" s="39">
        <v>-693</v>
      </c>
      <c r="H251" s="39">
        <v>297.08</v>
      </c>
      <c r="I251" s="39">
        <f t="shared" si="4"/>
        <v>272.28882064189514</v>
      </c>
      <c r="J251" s="39">
        <f t="shared" si="4"/>
        <v>-190.58677349793282</v>
      </c>
      <c r="K251" s="39">
        <f t="shared" si="4"/>
        <v>81.702047143962318</v>
      </c>
      <c r="L251" s="40" t="s">
        <v>12</v>
      </c>
      <c r="M251" s="41" t="s">
        <v>59</v>
      </c>
      <c r="N251" s="41" t="s">
        <v>791</v>
      </c>
      <c r="P251" s="8">
        <v>297.08</v>
      </c>
    </row>
    <row r="252" spans="1:16" s="41" customFormat="1" x14ac:dyDescent="0.25">
      <c r="A252" s="51" t="s">
        <v>397</v>
      </c>
      <c r="B252" s="36" t="s">
        <v>395</v>
      </c>
      <c r="C252" s="36" t="s">
        <v>395</v>
      </c>
      <c r="D252" s="37" t="s">
        <v>386</v>
      </c>
      <c r="E252" s="38">
        <v>44378</v>
      </c>
      <c r="F252" s="39">
        <v>990.09</v>
      </c>
      <c r="G252" s="39">
        <v>-693</v>
      </c>
      <c r="H252" s="39">
        <v>297.08999999999997</v>
      </c>
      <c r="I252" s="39">
        <f t="shared" si="4"/>
        <v>272.29157081178693</v>
      </c>
      <c r="J252" s="39">
        <f t="shared" si="4"/>
        <v>-190.58677349793282</v>
      </c>
      <c r="K252" s="39">
        <f t="shared" si="4"/>
        <v>81.704797313854058</v>
      </c>
      <c r="L252" s="40" t="s">
        <v>12</v>
      </c>
      <c r="M252" s="41" t="s">
        <v>59</v>
      </c>
      <c r="N252" s="41" t="s">
        <v>791</v>
      </c>
      <c r="P252" s="8">
        <v>297.08999999999997</v>
      </c>
    </row>
    <row r="253" spans="1:16" s="41" customFormat="1" x14ac:dyDescent="0.25">
      <c r="A253" s="51" t="s">
        <v>398</v>
      </c>
      <c r="B253" s="36" t="s">
        <v>395</v>
      </c>
      <c r="C253" s="36" t="s">
        <v>395</v>
      </c>
      <c r="D253" s="37" t="s">
        <v>386</v>
      </c>
      <c r="E253" s="38">
        <v>44378</v>
      </c>
      <c r="F253" s="39">
        <v>990.08</v>
      </c>
      <c r="G253" s="39">
        <v>-693</v>
      </c>
      <c r="H253" s="39">
        <v>297.08</v>
      </c>
      <c r="I253" s="39">
        <f t="shared" si="4"/>
        <v>272.28882064189514</v>
      </c>
      <c r="J253" s="39">
        <f t="shared" si="4"/>
        <v>-190.58677349793282</v>
      </c>
      <c r="K253" s="39">
        <f t="shared" si="4"/>
        <v>81.702047143962318</v>
      </c>
      <c r="L253" s="40" t="s">
        <v>12</v>
      </c>
      <c r="M253" s="41" t="s">
        <v>59</v>
      </c>
      <c r="N253" s="41" t="s">
        <v>791</v>
      </c>
      <c r="P253" s="8">
        <v>297.08</v>
      </c>
    </row>
    <row r="254" spans="1:16" s="35" customFormat="1" hidden="1" x14ac:dyDescent="0.25">
      <c r="A254" s="52" t="s">
        <v>399</v>
      </c>
      <c r="B254" s="30" t="s">
        <v>400</v>
      </c>
      <c r="C254" s="30" t="s">
        <v>400</v>
      </c>
      <c r="D254" s="31" t="s">
        <v>386</v>
      </c>
      <c r="E254" s="32">
        <v>44378</v>
      </c>
      <c r="F254" s="33">
        <v>1237.6400000000001</v>
      </c>
      <c r="G254" s="33">
        <v>-866.46</v>
      </c>
      <c r="H254" s="33">
        <v>371.18</v>
      </c>
      <c r="I254" s="33">
        <f t="shared" si="4"/>
        <v>340.37202648193596</v>
      </c>
      <c r="J254" s="33">
        <f t="shared" si="4"/>
        <v>-238.29122044014269</v>
      </c>
      <c r="K254" s="33">
        <f t="shared" si="4"/>
        <v>102.08080604179324</v>
      </c>
      <c r="L254" s="34" t="s">
        <v>12</v>
      </c>
      <c r="M254" s="35" t="s">
        <v>59</v>
      </c>
      <c r="N254" s="1" t="s">
        <v>805</v>
      </c>
      <c r="O254" s="1" t="s">
        <v>801</v>
      </c>
    </row>
    <row r="255" spans="1:16" s="35" customFormat="1" hidden="1" x14ac:dyDescent="0.25">
      <c r="A255" s="52" t="s">
        <v>401</v>
      </c>
      <c r="B255" s="30" t="s">
        <v>400</v>
      </c>
      <c r="C255" s="30" t="s">
        <v>400</v>
      </c>
      <c r="D255" s="31" t="s">
        <v>386</v>
      </c>
      <c r="E255" s="32">
        <v>44378</v>
      </c>
      <c r="F255" s="33">
        <v>1237.6300000000001</v>
      </c>
      <c r="G255" s="33">
        <v>-866.46</v>
      </c>
      <c r="H255" s="33">
        <v>371.17</v>
      </c>
      <c r="I255" s="33">
        <f t="shared" si="4"/>
        <v>340.36927631204418</v>
      </c>
      <c r="J255" s="33">
        <f t="shared" si="4"/>
        <v>-238.29122044014269</v>
      </c>
      <c r="K255" s="33">
        <f t="shared" si="4"/>
        <v>102.0780558719015</v>
      </c>
      <c r="L255" s="34" t="s">
        <v>12</v>
      </c>
      <c r="M255" s="35" t="s">
        <v>59</v>
      </c>
      <c r="N255" s="1" t="s">
        <v>805</v>
      </c>
      <c r="O255" s="1" t="s">
        <v>801</v>
      </c>
    </row>
    <row r="256" spans="1:16" s="35" customFormat="1" hidden="1" x14ac:dyDescent="0.25">
      <c r="A256" s="52" t="s">
        <v>402</v>
      </c>
      <c r="B256" s="30" t="s">
        <v>403</v>
      </c>
      <c r="C256" s="30" t="s">
        <v>403</v>
      </c>
      <c r="D256" s="31" t="s">
        <v>386</v>
      </c>
      <c r="E256" s="32">
        <v>44378</v>
      </c>
      <c r="F256" s="33">
        <v>1237.6300000000001</v>
      </c>
      <c r="G256" s="33">
        <v>-866.46</v>
      </c>
      <c r="H256" s="33">
        <v>371.17</v>
      </c>
      <c r="I256" s="33">
        <f t="shared" si="4"/>
        <v>340.36927631204418</v>
      </c>
      <c r="J256" s="33">
        <f t="shared" si="4"/>
        <v>-238.29122044014269</v>
      </c>
      <c r="K256" s="33">
        <f t="shared" si="4"/>
        <v>102.0780558719015</v>
      </c>
      <c r="L256" s="34" t="s">
        <v>12</v>
      </c>
      <c r="M256" s="35" t="s">
        <v>59</v>
      </c>
      <c r="N256" s="1" t="s">
        <v>805</v>
      </c>
      <c r="O256" s="1" t="s">
        <v>801</v>
      </c>
    </row>
    <row r="257" spans="1:15" s="41" customFormat="1" hidden="1" x14ac:dyDescent="0.25">
      <c r="A257" s="51" t="s">
        <v>404</v>
      </c>
      <c r="B257" s="36" t="s">
        <v>405</v>
      </c>
      <c r="C257" s="36" t="s">
        <v>405</v>
      </c>
      <c r="D257" s="37" t="s">
        <v>405</v>
      </c>
      <c r="E257" s="38">
        <v>44378</v>
      </c>
      <c r="F257" s="39">
        <v>2475.27</v>
      </c>
      <c r="G257" s="39">
        <v>-1732.5</v>
      </c>
      <c r="H257" s="39">
        <v>742.77</v>
      </c>
      <c r="I257" s="39">
        <f t="shared" si="4"/>
        <v>680.74130279398014</v>
      </c>
      <c r="J257" s="39">
        <f t="shared" si="4"/>
        <v>-476.46693374483209</v>
      </c>
      <c r="K257" s="39">
        <f t="shared" si="4"/>
        <v>204.27436904914799</v>
      </c>
      <c r="L257" s="40" t="s">
        <v>12</v>
      </c>
      <c r="M257" s="41" t="s">
        <v>59</v>
      </c>
    </row>
    <row r="258" spans="1:15" hidden="1" x14ac:dyDescent="0.25">
      <c r="A258" s="50" t="s">
        <v>406</v>
      </c>
      <c r="B258" s="26" t="s">
        <v>407</v>
      </c>
      <c r="C258" s="26" t="s">
        <v>407</v>
      </c>
      <c r="D258" s="27" t="s">
        <v>407</v>
      </c>
      <c r="E258" s="28">
        <v>44378</v>
      </c>
      <c r="F258" s="29">
        <v>2475.27</v>
      </c>
      <c r="G258" s="29">
        <v>-1732.5</v>
      </c>
      <c r="H258" s="29">
        <v>742.77</v>
      </c>
      <c r="I258" s="29">
        <f t="shared" si="4"/>
        <v>680.74130279398014</v>
      </c>
      <c r="J258" s="29">
        <f t="shared" si="4"/>
        <v>-476.46693374483209</v>
      </c>
      <c r="K258" s="29">
        <f t="shared" si="4"/>
        <v>204.27436904914799</v>
      </c>
      <c r="L258" s="9" t="s">
        <v>12</v>
      </c>
      <c r="M258" s="1" t="s">
        <v>59</v>
      </c>
      <c r="N258" s="1" t="s">
        <v>804</v>
      </c>
      <c r="O258" s="1" t="s">
        <v>802</v>
      </c>
    </row>
    <row r="259" spans="1:15" hidden="1" x14ac:dyDescent="0.25">
      <c r="A259" s="50" t="s">
        <v>408</v>
      </c>
      <c r="B259" s="26" t="s">
        <v>409</v>
      </c>
      <c r="C259" s="26" t="s">
        <v>409</v>
      </c>
      <c r="D259" s="27" t="s">
        <v>409</v>
      </c>
      <c r="E259" s="28">
        <v>44378</v>
      </c>
      <c r="F259" s="29">
        <v>2475.27</v>
      </c>
      <c r="G259" s="29">
        <v>-1732.5</v>
      </c>
      <c r="H259" s="29">
        <v>742.77</v>
      </c>
      <c r="I259" s="29">
        <f t="shared" si="4"/>
        <v>680.74130279398014</v>
      </c>
      <c r="J259" s="29">
        <f t="shared" si="4"/>
        <v>-476.46693374483209</v>
      </c>
      <c r="K259" s="29">
        <f t="shared" si="4"/>
        <v>204.27436904914799</v>
      </c>
      <c r="L259" s="9" t="s">
        <v>12</v>
      </c>
      <c r="M259" s="1" t="s">
        <v>59</v>
      </c>
      <c r="N259" s="1" t="s">
        <v>804</v>
      </c>
      <c r="O259" s="1" t="s">
        <v>802</v>
      </c>
    </row>
    <row r="260" spans="1:15" hidden="1" x14ac:dyDescent="0.25">
      <c r="A260" s="50" t="s">
        <v>410</v>
      </c>
      <c r="B260" s="26" t="s">
        <v>411</v>
      </c>
      <c r="C260" s="26" t="s">
        <v>411</v>
      </c>
      <c r="D260" s="27" t="s">
        <v>411</v>
      </c>
      <c r="E260" s="28">
        <v>44378</v>
      </c>
      <c r="F260" s="29">
        <v>3244.79</v>
      </c>
      <c r="G260" s="29">
        <v>-2271.36</v>
      </c>
      <c r="H260" s="29">
        <v>973.43</v>
      </c>
      <c r="I260" s="29">
        <f t="shared" si="4"/>
        <v>892.37237630354616</v>
      </c>
      <c r="J260" s="29">
        <f t="shared" si="4"/>
        <v>-624.66258853140653</v>
      </c>
      <c r="K260" s="29">
        <f t="shared" si="4"/>
        <v>267.70978777213963</v>
      </c>
      <c r="L260" s="9" t="s">
        <v>12</v>
      </c>
      <c r="M260" s="1" t="s">
        <v>59</v>
      </c>
      <c r="N260" s="1" t="s">
        <v>804</v>
      </c>
      <c r="O260" s="1" t="s">
        <v>802</v>
      </c>
    </row>
    <row r="261" spans="1:15" hidden="1" x14ac:dyDescent="0.25">
      <c r="A261" s="50" t="s">
        <v>412</v>
      </c>
      <c r="B261" s="26" t="s">
        <v>413</v>
      </c>
      <c r="C261" s="26" t="s">
        <v>413</v>
      </c>
      <c r="D261" s="27" t="s">
        <v>413</v>
      </c>
      <c r="E261" s="28">
        <v>44378</v>
      </c>
      <c r="F261" s="29">
        <v>3272.06</v>
      </c>
      <c r="G261" s="29">
        <v>-2290.2600000000002</v>
      </c>
      <c r="H261" s="29">
        <v>981.8</v>
      </c>
      <c r="I261" s="29">
        <f t="shared" si="4"/>
        <v>899.87208959833492</v>
      </c>
      <c r="J261" s="29">
        <f t="shared" si="4"/>
        <v>-629.86040962680477</v>
      </c>
      <c r="K261" s="29">
        <f t="shared" si="4"/>
        <v>270.01167997153021</v>
      </c>
      <c r="L261" s="9" t="s">
        <v>12</v>
      </c>
      <c r="M261" s="1" t="s">
        <v>59</v>
      </c>
      <c r="N261" s="1" t="s">
        <v>804</v>
      </c>
      <c r="O261" s="1" t="s">
        <v>802</v>
      </c>
    </row>
    <row r="262" spans="1:15" s="35" customFormat="1" hidden="1" x14ac:dyDescent="0.25">
      <c r="A262" s="52" t="s">
        <v>414</v>
      </c>
      <c r="B262" s="30" t="s">
        <v>415</v>
      </c>
      <c r="C262" s="30" t="s">
        <v>415</v>
      </c>
      <c r="D262" s="31" t="s">
        <v>415</v>
      </c>
      <c r="E262" s="32">
        <v>44378</v>
      </c>
      <c r="F262" s="33">
        <v>2475.27</v>
      </c>
      <c r="G262" s="33">
        <v>-1732.5</v>
      </c>
      <c r="H262" s="33">
        <v>742.77</v>
      </c>
      <c r="I262" s="33">
        <f t="shared" ref="I262:K325" si="5">F262/3.636139</f>
        <v>680.74130279398014</v>
      </c>
      <c r="J262" s="33">
        <f t="shared" si="5"/>
        <v>-476.46693374483209</v>
      </c>
      <c r="K262" s="33">
        <f t="shared" si="5"/>
        <v>204.27436904914799</v>
      </c>
      <c r="L262" s="34" t="s">
        <v>12</v>
      </c>
      <c r="M262" s="35" t="s">
        <v>59</v>
      </c>
      <c r="N262" s="1" t="s">
        <v>804</v>
      </c>
      <c r="O262" s="1" t="s">
        <v>802</v>
      </c>
    </row>
    <row r="263" spans="1:15" s="35" customFormat="1" hidden="1" x14ac:dyDescent="0.25">
      <c r="A263" s="52" t="s">
        <v>416</v>
      </c>
      <c r="B263" s="30" t="s">
        <v>417</v>
      </c>
      <c r="C263" s="30" t="s">
        <v>417</v>
      </c>
      <c r="D263" s="31" t="s">
        <v>386</v>
      </c>
      <c r="E263" s="32">
        <v>44378</v>
      </c>
      <c r="F263" s="33">
        <v>4794.17</v>
      </c>
      <c r="G263" s="33">
        <v>-3355.8</v>
      </c>
      <c r="H263" s="33">
        <v>1438.37</v>
      </c>
      <c r="I263" s="33">
        <f t="shared" si="5"/>
        <v>1318.4781989907426</v>
      </c>
      <c r="J263" s="33">
        <f t="shared" si="5"/>
        <v>-922.90201227180819</v>
      </c>
      <c r="K263" s="33">
        <f t="shared" si="5"/>
        <v>395.57618671893454</v>
      </c>
      <c r="L263" s="34" t="s">
        <v>12</v>
      </c>
      <c r="M263" s="35" t="s">
        <v>59</v>
      </c>
      <c r="N263" s="1" t="s">
        <v>804</v>
      </c>
      <c r="O263" s="1" t="s">
        <v>802</v>
      </c>
    </row>
    <row r="264" spans="1:15" s="35" customFormat="1" hidden="1" x14ac:dyDescent="0.25">
      <c r="A264" s="52" t="s">
        <v>418</v>
      </c>
      <c r="B264" s="30" t="s">
        <v>417</v>
      </c>
      <c r="C264" s="30" t="s">
        <v>417</v>
      </c>
      <c r="D264" s="31" t="s">
        <v>386</v>
      </c>
      <c r="E264" s="32">
        <v>44378</v>
      </c>
      <c r="F264" s="33">
        <v>4794.17</v>
      </c>
      <c r="G264" s="33">
        <v>-3355.8</v>
      </c>
      <c r="H264" s="33">
        <v>1438.37</v>
      </c>
      <c r="I264" s="33">
        <f t="shared" si="5"/>
        <v>1318.4781989907426</v>
      </c>
      <c r="J264" s="33">
        <f t="shared" si="5"/>
        <v>-922.90201227180819</v>
      </c>
      <c r="K264" s="33">
        <f t="shared" si="5"/>
        <v>395.57618671893454</v>
      </c>
      <c r="L264" s="34" t="s">
        <v>12</v>
      </c>
      <c r="M264" s="35" t="s">
        <v>59</v>
      </c>
      <c r="N264" s="1" t="s">
        <v>804</v>
      </c>
      <c r="O264" s="1" t="s">
        <v>802</v>
      </c>
    </row>
    <row r="265" spans="1:15" s="35" customFormat="1" hidden="1" x14ac:dyDescent="0.25">
      <c r="A265" s="52" t="s">
        <v>419</v>
      </c>
      <c r="B265" s="30" t="s">
        <v>417</v>
      </c>
      <c r="C265" s="30" t="s">
        <v>417</v>
      </c>
      <c r="D265" s="31" t="s">
        <v>386</v>
      </c>
      <c r="E265" s="32">
        <v>44378</v>
      </c>
      <c r="F265" s="33">
        <v>4794.17</v>
      </c>
      <c r="G265" s="33">
        <v>-3355.8</v>
      </c>
      <c r="H265" s="33">
        <v>1438.37</v>
      </c>
      <c r="I265" s="33">
        <f t="shared" si="5"/>
        <v>1318.4781989907426</v>
      </c>
      <c r="J265" s="33">
        <f t="shared" si="5"/>
        <v>-922.90201227180819</v>
      </c>
      <c r="K265" s="33">
        <f t="shared" si="5"/>
        <v>395.57618671893454</v>
      </c>
      <c r="L265" s="34" t="s">
        <v>12</v>
      </c>
      <c r="M265" s="35" t="s">
        <v>59</v>
      </c>
      <c r="N265" s="1" t="s">
        <v>804</v>
      </c>
      <c r="O265" s="1" t="s">
        <v>802</v>
      </c>
    </row>
    <row r="266" spans="1:15" s="35" customFormat="1" hidden="1" x14ac:dyDescent="0.25">
      <c r="A266" s="52" t="s">
        <v>420</v>
      </c>
      <c r="B266" s="30" t="s">
        <v>417</v>
      </c>
      <c r="C266" s="30" t="s">
        <v>417</v>
      </c>
      <c r="D266" s="31" t="s">
        <v>386</v>
      </c>
      <c r="E266" s="32">
        <v>44378</v>
      </c>
      <c r="F266" s="33">
        <v>4794.17</v>
      </c>
      <c r="G266" s="33">
        <v>-3355.8</v>
      </c>
      <c r="H266" s="33">
        <v>1438.37</v>
      </c>
      <c r="I266" s="33">
        <f t="shared" si="5"/>
        <v>1318.4781989907426</v>
      </c>
      <c r="J266" s="33">
        <f t="shared" si="5"/>
        <v>-922.90201227180819</v>
      </c>
      <c r="K266" s="33">
        <f t="shared" si="5"/>
        <v>395.57618671893454</v>
      </c>
      <c r="L266" s="34" t="s">
        <v>12</v>
      </c>
      <c r="M266" s="35" t="s">
        <v>59</v>
      </c>
      <c r="N266" s="1" t="s">
        <v>804</v>
      </c>
      <c r="O266" s="1" t="s">
        <v>802</v>
      </c>
    </row>
    <row r="267" spans="1:15" s="35" customFormat="1" hidden="1" x14ac:dyDescent="0.25">
      <c r="A267" s="52" t="s">
        <v>421</v>
      </c>
      <c r="B267" s="30" t="s">
        <v>422</v>
      </c>
      <c r="C267" s="30" t="s">
        <v>422</v>
      </c>
      <c r="D267" s="31" t="s">
        <v>386</v>
      </c>
      <c r="E267" s="32">
        <v>44378</v>
      </c>
      <c r="F267" s="33">
        <v>5860.49</v>
      </c>
      <c r="G267" s="33">
        <v>-4102.1400000000003</v>
      </c>
      <c r="H267" s="33">
        <v>1758.35</v>
      </c>
      <c r="I267" s="33">
        <f t="shared" si="5"/>
        <v>1611.7343148873022</v>
      </c>
      <c r="J267" s="33">
        <f t="shared" si="5"/>
        <v>-1128.1581919723092</v>
      </c>
      <c r="K267" s="33">
        <f t="shared" si="5"/>
        <v>483.57612291499305</v>
      </c>
      <c r="L267" s="34" t="s">
        <v>12</v>
      </c>
      <c r="M267" s="35" t="s">
        <v>59</v>
      </c>
      <c r="N267" s="1" t="s">
        <v>804</v>
      </c>
      <c r="O267" s="1" t="s">
        <v>802</v>
      </c>
    </row>
    <row r="268" spans="1:15" s="35" customFormat="1" hidden="1" x14ac:dyDescent="0.25">
      <c r="A268" s="52" t="s">
        <v>423</v>
      </c>
      <c r="B268" s="30" t="s">
        <v>424</v>
      </c>
      <c r="C268" s="30" t="s">
        <v>424</v>
      </c>
      <c r="D268" s="31" t="s">
        <v>386</v>
      </c>
      <c r="E268" s="32">
        <v>44378</v>
      </c>
      <c r="F268" s="33">
        <v>7151.03</v>
      </c>
      <c r="G268" s="33">
        <v>-5005.5600000000004</v>
      </c>
      <c r="H268" s="33">
        <v>2145.4699999999998</v>
      </c>
      <c r="I268" s="33">
        <f t="shared" si="5"/>
        <v>1966.6547400965694</v>
      </c>
      <c r="J268" s="33">
        <f t="shared" si="5"/>
        <v>-1376.6140403323416</v>
      </c>
      <c r="K268" s="33">
        <f t="shared" si="5"/>
        <v>590.04069976422784</v>
      </c>
      <c r="L268" s="34" t="s">
        <v>12</v>
      </c>
      <c r="M268" s="35" t="s">
        <v>59</v>
      </c>
      <c r="N268" s="1" t="s">
        <v>804</v>
      </c>
      <c r="O268" s="1" t="s">
        <v>802</v>
      </c>
    </row>
    <row r="269" spans="1:15" s="35" customFormat="1" hidden="1" x14ac:dyDescent="0.25">
      <c r="A269" s="52" t="s">
        <v>425</v>
      </c>
      <c r="B269" s="30" t="s">
        <v>426</v>
      </c>
      <c r="C269" s="30" t="s">
        <v>426</v>
      </c>
      <c r="D269" s="31" t="s">
        <v>386</v>
      </c>
      <c r="E269" s="32">
        <v>44378</v>
      </c>
      <c r="F269" s="33">
        <v>4671.78</v>
      </c>
      <c r="G269" s="33">
        <v>-3270.12</v>
      </c>
      <c r="H269" s="33">
        <v>1401.66</v>
      </c>
      <c r="I269" s="33">
        <f t="shared" si="5"/>
        <v>1284.8188696856748</v>
      </c>
      <c r="J269" s="33">
        <f t="shared" si="5"/>
        <v>-899.33855663933639</v>
      </c>
      <c r="K269" s="33">
        <f t="shared" si="5"/>
        <v>385.48031304633844</v>
      </c>
      <c r="L269" s="34" t="s">
        <v>12</v>
      </c>
      <c r="M269" s="35" t="s">
        <v>59</v>
      </c>
      <c r="N269" s="1" t="s">
        <v>804</v>
      </c>
      <c r="O269" s="1" t="s">
        <v>802</v>
      </c>
    </row>
    <row r="270" spans="1:15" s="35" customFormat="1" hidden="1" x14ac:dyDescent="0.25">
      <c r="A270" s="52" t="s">
        <v>427</v>
      </c>
      <c r="B270" s="30" t="s">
        <v>428</v>
      </c>
      <c r="C270" s="30" t="s">
        <v>428</v>
      </c>
      <c r="D270" s="31" t="s">
        <v>386</v>
      </c>
      <c r="E270" s="32">
        <v>44378</v>
      </c>
      <c r="F270" s="33">
        <v>4950.5</v>
      </c>
      <c r="G270" s="33">
        <v>-3465.42</v>
      </c>
      <c r="H270" s="33">
        <v>1485.08</v>
      </c>
      <c r="I270" s="33">
        <f t="shared" si="5"/>
        <v>1361.4716049083931</v>
      </c>
      <c r="J270" s="33">
        <f t="shared" si="5"/>
        <v>-953.04937462511748</v>
      </c>
      <c r="K270" s="33">
        <f t="shared" si="5"/>
        <v>408.42223028327572</v>
      </c>
      <c r="L270" s="34" t="s">
        <v>12</v>
      </c>
      <c r="M270" s="35" t="s">
        <v>59</v>
      </c>
      <c r="N270" s="1" t="s">
        <v>804</v>
      </c>
      <c r="O270" s="1" t="s">
        <v>802</v>
      </c>
    </row>
    <row r="271" spans="1:15" s="35" customFormat="1" hidden="1" x14ac:dyDescent="0.25">
      <c r="A271" s="52" t="s">
        <v>429</v>
      </c>
      <c r="B271" s="30" t="s">
        <v>430</v>
      </c>
      <c r="C271" s="30" t="s">
        <v>430</v>
      </c>
      <c r="D271" s="31" t="s">
        <v>386</v>
      </c>
      <c r="E271" s="32">
        <v>44378</v>
      </c>
      <c r="F271" s="33">
        <v>4950.49</v>
      </c>
      <c r="G271" s="33">
        <v>-3465.42</v>
      </c>
      <c r="H271" s="33">
        <v>1485.07</v>
      </c>
      <c r="I271" s="33">
        <f t="shared" si="5"/>
        <v>1361.4688547385015</v>
      </c>
      <c r="J271" s="33">
        <f t="shared" si="5"/>
        <v>-953.04937462511748</v>
      </c>
      <c r="K271" s="33">
        <f t="shared" si="5"/>
        <v>408.419480113384</v>
      </c>
      <c r="L271" s="34" t="s">
        <v>12</v>
      </c>
      <c r="M271" s="35" t="s">
        <v>59</v>
      </c>
      <c r="N271" s="1" t="s">
        <v>804</v>
      </c>
      <c r="O271" s="1" t="s">
        <v>802</v>
      </c>
    </row>
    <row r="272" spans="1:15" hidden="1" x14ac:dyDescent="0.25">
      <c r="A272" s="50" t="s">
        <v>431</v>
      </c>
      <c r="B272" s="26" t="s">
        <v>432</v>
      </c>
      <c r="C272" s="26" t="s">
        <v>432</v>
      </c>
      <c r="D272" s="27" t="s">
        <v>386</v>
      </c>
      <c r="E272" s="28">
        <v>44378</v>
      </c>
      <c r="F272" s="29">
        <v>10024.76</v>
      </c>
      <c r="G272" s="29">
        <v>-7017.36</v>
      </c>
      <c r="H272" s="29">
        <v>3007.4</v>
      </c>
      <c r="I272" s="29">
        <f t="shared" si="5"/>
        <v>2756.9793123970235</v>
      </c>
      <c r="J272" s="29">
        <f t="shared" si="5"/>
        <v>-1929.893219153613</v>
      </c>
      <c r="K272" s="29">
        <f t="shared" si="5"/>
        <v>827.08609324341012</v>
      </c>
      <c r="L272" s="9" t="s">
        <v>12</v>
      </c>
      <c r="M272" s="1" t="s">
        <v>59</v>
      </c>
      <c r="N272" s="1" t="s">
        <v>804</v>
      </c>
      <c r="O272" s="1" t="s">
        <v>799</v>
      </c>
    </row>
    <row r="273" spans="1:16" hidden="1" x14ac:dyDescent="0.25">
      <c r="A273" s="50" t="s">
        <v>433</v>
      </c>
      <c r="B273" s="26" t="s">
        <v>432</v>
      </c>
      <c r="C273" s="26" t="s">
        <v>432</v>
      </c>
      <c r="D273" s="27" t="s">
        <v>386</v>
      </c>
      <c r="E273" s="28">
        <v>44378</v>
      </c>
      <c r="F273" s="29">
        <v>10024.76</v>
      </c>
      <c r="G273" s="29">
        <v>-7017.36</v>
      </c>
      <c r="H273" s="29">
        <v>3007.4</v>
      </c>
      <c r="I273" s="29">
        <f t="shared" si="5"/>
        <v>2756.9793123970235</v>
      </c>
      <c r="J273" s="29">
        <f t="shared" si="5"/>
        <v>-1929.893219153613</v>
      </c>
      <c r="K273" s="29">
        <f t="shared" si="5"/>
        <v>827.08609324341012</v>
      </c>
      <c r="L273" s="9" t="s">
        <v>12</v>
      </c>
      <c r="M273" s="1" t="s">
        <v>59</v>
      </c>
      <c r="N273" s="1" t="s">
        <v>804</v>
      </c>
      <c r="O273" s="1" t="s">
        <v>799</v>
      </c>
    </row>
    <row r="274" spans="1:16" hidden="1" x14ac:dyDescent="0.25">
      <c r="A274" s="50" t="s">
        <v>434</v>
      </c>
      <c r="B274" s="26" t="s">
        <v>432</v>
      </c>
      <c r="C274" s="26" t="s">
        <v>432</v>
      </c>
      <c r="D274" s="27" t="s">
        <v>386</v>
      </c>
      <c r="E274" s="28">
        <v>44378</v>
      </c>
      <c r="F274" s="29">
        <v>10024.76</v>
      </c>
      <c r="G274" s="29">
        <v>-7017.36</v>
      </c>
      <c r="H274" s="29">
        <v>3007.4</v>
      </c>
      <c r="I274" s="29">
        <f t="shared" si="5"/>
        <v>2756.9793123970235</v>
      </c>
      <c r="J274" s="29">
        <f t="shared" si="5"/>
        <v>-1929.893219153613</v>
      </c>
      <c r="K274" s="29">
        <f t="shared" si="5"/>
        <v>827.08609324341012</v>
      </c>
      <c r="L274" s="9" t="s">
        <v>12</v>
      </c>
      <c r="M274" s="1" t="s">
        <v>59</v>
      </c>
      <c r="N274" s="1" t="s">
        <v>804</v>
      </c>
      <c r="O274" s="1" t="s">
        <v>799</v>
      </c>
    </row>
    <row r="275" spans="1:16" hidden="1" x14ac:dyDescent="0.25">
      <c r="A275" s="50" t="s">
        <v>435</v>
      </c>
      <c r="B275" s="26" t="s">
        <v>432</v>
      </c>
      <c r="C275" s="26" t="s">
        <v>432</v>
      </c>
      <c r="D275" s="27" t="s">
        <v>386</v>
      </c>
      <c r="E275" s="28">
        <v>44378</v>
      </c>
      <c r="F275" s="29">
        <v>10024.76</v>
      </c>
      <c r="G275" s="29">
        <v>-7017.36</v>
      </c>
      <c r="H275" s="29">
        <v>3007.4</v>
      </c>
      <c r="I275" s="29">
        <f t="shared" si="5"/>
        <v>2756.9793123970235</v>
      </c>
      <c r="J275" s="29">
        <f t="shared" si="5"/>
        <v>-1929.893219153613</v>
      </c>
      <c r="K275" s="29">
        <f t="shared" si="5"/>
        <v>827.08609324341012</v>
      </c>
      <c r="L275" s="9" t="s">
        <v>12</v>
      </c>
      <c r="M275" s="1" t="s">
        <v>59</v>
      </c>
      <c r="N275" s="1" t="s">
        <v>804</v>
      </c>
      <c r="O275" s="1" t="s">
        <v>799</v>
      </c>
    </row>
    <row r="276" spans="1:16" hidden="1" x14ac:dyDescent="0.25">
      <c r="A276" s="50" t="s">
        <v>436</v>
      </c>
      <c r="B276" s="26" t="s">
        <v>437</v>
      </c>
      <c r="C276" s="26" t="s">
        <v>437</v>
      </c>
      <c r="D276" s="27" t="s">
        <v>437</v>
      </c>
      <c r="E276" s="28">
        <v>44378</v>
      </c>
      <c r="F276" s="29">
        <v>10024.77</v>
      </c>
      <c r="G276" s="29">
        <v>-7017.36</v>
      </c>
      <c r="H276" s="29">
        <v>3007.41</v>
      </c>
      <c r="I276" s="29">
        <f t="shared" si="5"/>
        <v>2756.9820625669154</v>
      </c>
      <c r="J276" s="29">
        <f t="shared" si="5"/>
        <v>-1929.893219153613</v>
      </c>
      <c r="K276" s="29">
        <f t="shared" si="5"/>
        <v>827.08884341330179</v>
      </c>
      <c r="L276" s="9" t="s">
        <v>12</v>
      </c>
      <c r="M276" s="1" t="s">
        <v>59</v>
      </c>
      <c r="N276" s="1" t="s">
        <v>804</v>
      </c>
      <c r="O276" s="1" t="s">
        <v>799</v>
      </c>
    </row>
    <row r="277" spans="1:16" s="41" customFormat="1" x14ac:dyDescent="0.25">
      <c r="A277" s="51" t="s">
        <v>438</v>
      </c>
      <c r="B277" s="36" t="s">
        <v>439</v>
      </c>
      <c r="C277" s="36" t="s">
        <v>439</v>
      </c>
      <c r="D277" s="37" t="s">
        <v>439</v>
      </c>
      <c r="E277" s="38">
        <v>44378</v>
      </c>
      <c r="F277" s="39">
        <v>10024.76</v>
      </c>
      <c r="G277" s="39">
        <v>-7017.36</v>
      </c>
      <c r="H277" s="39">
        <v>3007.4</v>
      </c>
      <c r="I277" s="39">
        <f t="shared" si="5"/>
        <v>2756.9793123970235</v>
      </c>
      <c r="J277" s="39">
        <f t="shared" si="5"/>
        <v>-1929.893219153613</v>
      </c>
      <c r="K277" s="39">
        <f t="shared" si="5"/>
        <v>827.08609324341012</v>
      </c>
      <c r="L277" s="40" t="s">
        <v>12</v>
      </c>
      <c r="M277" s="41" t="s">
        <v>59</v>
      </c>
      <c r="N277" s="41" t="s">
        <v>792</v>
      </c>
      <c r="P277" s="8">
        <v>3007.4</v>
      </c>
    </row>
    <row r="278" spans="1:16" hidden="1" x14ac:dyDescent="0.25">
      <c r="A278" s="50" t="s">
        <v>440</v>
      </c>
      <c r="B278" s="26" t="s">
        <v>441</v>
      </c>
      <c r="C278" s="26" t="s">
        <v>441</v>
      </c>
      <c r="D278" s="27" t="s">
        <v>441</v>
      </c>
      <c r="E278" s="28">
        <v>44378</v>
      </c>
      <c r="F278" s="29">
        <v>10024.77</v>
      </c>
      <c r="G278" s="29">
        <v>-7017.36</v>
      </c>
      <c r="H278" s="29">
        <v>3007.41</v>
      </c>
      <c r="I278" s="29">
        <f t="shared" si="5"/>
        <v>2756.9820625669154</v>
      </c>
      <c r="J278" s="29">
        <f t="shared" si="5"/>
        <v>-1929.893219153613</v>
      </c>
      <c r="K278" s="29">
        <f t="shared" si="5"/>
        <v>827.08884341330179</v>
      </c>
      <c r="L278" s="9" t="s">
        <v>12</v>
      </c>
      <c r="M278" s="1" t="s">
        <v>59</v>
      </c>
      <c r="N278" s="1" t="s">
        <v>800</v>
      </c>
      <c r="O278" s="1" t="s">
        <v>799</v>
      </c>
    </row>
    <row r="279" spans="1:16" s="41" customFormat="1" x14ac:dyDescent="0.25">
      <c r="A279" s="51" t="s">
        <v>442</v>
      </c>
      <c r="B279" s="36" t="s">
        <v>443</v>
      </c>
      <c r="C279" s="36" t="s">
        <v>443</v>
      </c>
      <c r="D279" s="37" t="s">
        <v>443</v>
      </c>
      <c r="E279" s="38">
        <v>44378</v>
      </c>
      <c r="F279" s="39">
        <v>10024.76</v>
      </c>
      <c r="G279" s="39">
        <v>-7017.36</v>
      </c>
      <c r="H279" s="39">
        <v>3007.4</v>
      </c>
      <c r="I279" s="39">
        <f t="shared" si="5"/>
        <v>2756.9793123970235</v>
      </c>
      <c r="J279" s="39">
        <f t="shared" si="5"/>
        <v>-1929.893219153613</v>
      </c>
      <c r="K279" s="39">
        <f t="shared" si="5"/>
        <v>827.08609324341012</v>
      </c>
      <c r="L279" s="40" t="s">
        <v>12</v>
      </c>
      <c r="M279" s="41" t="s">
        <v>59</v>
      </c>
      <c r="N279" s="41" t="s">
        <v>791</v>
      </c>
      <c r="P279" s="8">
        <v>3007.4</v>
      </c>
    </row>
    <row r="280" spans="1:16" hidden="1" x14ac:dyDescent="0.25">
      <c r="A280" s="50" t="s">
        <v>444</v>
      </c>
      <c r="B280" s="26" t="s">
        <v>445</v>
      </c>
      <c r="C280" s="26" t="s">
        <v>445</v>
      </c>
      <c r="D280" s="27" t="s">
        <v>386</v>
      </c>
      <c r="E280" s="28">
        <v>44378</v>
      </c>
      <c r="F280" s="29">
        <v>12376.25</v>
      </c>
      <c r="G280" s="29">
        <v>-8663.34</v>
      </c>
      <c r="H280" s="29">
        <v>3712.91</v>
      </c>
      <c r="I280" s="29">
        <f t="shared" si="5"/>
        <v>3403.6790122709831</v>
      </c>
      <c r="J280" s="29">
        <f t="shared" si="5"/>
        <v>-2382.5656829950672</v>
      </c>
      <c r="K280" s="29">
        <f t="shared" si="5"/>
        <v>1021.1133292759159</v>
      </c>
      <c r="L280" s="9" t="s">
        <v>12</v>
      </c>
      <c r="M280" s="1" t="s">
        <v>59</v>
      </c>
      <c r="N280" s="1" t="s">
        <v>800</v>
      </c>
      <c r="O280" s="1" t="s">
        <v>802</v>
      </c>
    </row>
    <row r="281" spans="1:16" hidden="1" x14ac:dyDescent="0.25">
      <c r="A281" s="50" t="s">
        <v>446</v>
      </c>
      <c r="B281" s="26" t="s">
        <v>447</v>
      </c>
      <c r="C281" s="26" t="s">
        <v>447</v>
      </c>
      <c r="D281" s="27" t="s">
        <v>386</v>
      </c>
      <c r="E281" s="28">
        <v>44378</v>
      </c>
      <c r="F281" s="29">
        <v>990.08</v>
      </c>
      <c r="G281" s="29">
        <v>-693</v>
      </c>
      <c r="H281" s="29">
        <v>297.08</v>
      </c>
      <c r="I281" s="29">
        <f t="shared" si="5"/>
        <v>272.28882064189514</v>
      </c>
      <c r="J281" s="29">
        <f t="shared" si="5"/>
        <v>-190.58677349793282</v>
      </c>
      <c r="K281" s="29">
        <f t="shared" si="5"/>
        <v>81.702047143962318</v>
      </c>
      <c r="L281" s="9" t="s">
        <v>12</v>
      </c>
      <c r="M281" s="1" t="s">
        <v>59</v>
      </c>
      <c r="N281" s="1" t="s">
        <v>800</v>
      </c>
      <c r="O281" s="1" t="s">
        <v>802</v>
      </c>
    </row>
    <row r="282" spans="1:16" hidden="1" x14ac:dyDescent="0.25">
      <c r="A282" s="50" t="s">
        <v>448</v>
      </c>
      <c r="B282" s="26" t="s">
        <v>449</v>
      </c>
      <c r="C282" s="26" t="s">
        <v>449</v>
      </c>
      <c r="D282" s="27" t="s">
        <v>386</v>
      </c>
      <c r="E282" s="28">
        <v>44378</v>
      </c>
      <c r="F282" s="29">
        <v>3602.95</v>
      </c>
      <c r="G282" s="29">
        <v>-2522.1</v>
      </c>
      <c r="H282" s="29">
        <v>1080.8499999999999</v>
      </c>
      <c r="I282" s="29">
        <f t="shared" si="5"/>
        <v>990.87246114628726</v>
      </c>
      <c r="J282" s="29">
        <f t="shared" si="5"/>
        <v>-693.62034839702221</v>
      </c>
      <c r="K282" s="29">
        <f t="shared" si="5"/>
        <v>297.25211274926505</v>
      </c>
      <c r="L282" s="9" t="s">
        <v>12</v>
      </c>
      <c r="M282" s="1" t="s">
        <v>59</v>
      </c>
      <c r="N282" s="1" t="s">
        <v>800</v>
      </c>
      <c r="O282" s="1" t="s">
        <v>802</v>
      </c>
    </row>
    <row r="283" spans="1:16" hidden="1" x14ac:dyDescent="0.25">
      <c r="A283" s="50" t="s">
        <v>450</v>
      </c>
      <c r="B283" s="26" t="s">
        <v>451</v>
      </c>
      <c r="C283" s="26" t="s">
        <v>451</v>
      </c>
      <c r="D283" s="27" t="s">
        <v>386</v>
      </c>
      <c r="E283" s="28">
        <v>44378</v>
      </c>
      <c r="F283" s="29">
        <v>14643.46</v>
      </c>
      <c r="G283" s="29">
        <v>-10250.52</v>
      </c>
      <c r="H283" s="29">
        <v>4392.9399999999996</v>
      </c>
      <c r="I283" s="29">
        <f t="shared" si="5"/>
        <v>4027.2002802973152</v>
      </c>
      <c r="J283" s="29">
        <f t="shared" si="5"/>
        <v>-2819.0671478730601</v>
      </c>
      <c r="K283" s="29">
        <f t="shared" si="5"/>
        <v>1208.1331324242553</v>
      </c>
      <c r="L283" s="9" t="s">
        <v>12</v>
      </c>
      <c r="M283" s="1" t="s">
        <v>59</v>
      </c>
      <c r="N283" s="1" t="s">
        <v>800</v>
      </c>
      <c r="O283" s="1" t="s">
        <v>802</v>
      </c>
    </row>
    <row r="284" spans="1:16" hidden="1" x14ac:dyDescent="0.25">
      <c r="A284" s="50" t="s">
        <v>452</v>
      </c>
      <c r="B284" s="26" t="s">
        <v>453</v>
      </c>
      <c r="C284" s="26" t="s">
        <v>453</v>
      </c>
      <c r="D284" s="27" t="s">
        <v>386</v>
      </c>
      <c r="E284" s="28">
        <v>44378</v>
      </c>
      <c r="F284" s="29">
        <v>1732.66</v>
      </c>
      <c r="G284" s="29">
        <v>-1212.96</v>
      </c>
      <c r="H284" s="29">
        <v>519.70000000000005</v>
      </c>
      <c r="I284" s="29">
        <f t="shared" si="5"/>
        <v>476.51093646310005</v>
      </c>
      <c r="J284" s="29">
        <f t="shared" si="5"/>
        <v>-333.58460718910914</v>
      </c>
      <c r="K284" s="29">
        <f t="shared" si="5"/>
        <v>142.92632927399092</v>
      </c>
      <c r="L284" s="9" t="s">
        <v>12</v>
      </c>
      <c r="M284" s="1" t="s">
        <v>59</v>
      </c>
      <c r="N284" s="1" t="s">
        <v>800</v>
      </c>
      <c r="O284" s="1" t="s">
        <v>802</v>
      </c>
    </row>
    <row r="285" spans="1:16" hidden="1" x14ac:dyDescent="0.25">
      <c r="A285" s="50" t="s">
        <v>454</v>
      </c>
      <c r="B285" s="26" t="s">
        <v>417</v>
      </c>
      <c r="C285" s="26" t="s">
        <v>417</v>
      </c>
      <c r="D285" s="27" t="s">
        <v>386</v>
      </c>
      <c r="E285" s="28">
        <v>44378</v>
      </c>
      <c r="F285" s="29">
        <v>4794.17</v>
      </c>
      <c r="G285" s="29">
        <v>-3355.8</v>
      </c>
      <c r="H285" s="29">
        <v>1438.37</v>
      </c>
      <c r="I285" s="29">
        <f t="shared" si="5"/>
        <v>1318.4781989907426</v>
      </c>
      <c r="J285" s="29">
        <f t="shared" si="5"/>
        <v>-922.90201227180819</v>
      </c>
      <c r="K285" s="29">
        <f t="shared" si="5"/>
        <v>395.57618671893454</v>
      </c>
      <c r="L285" s="9" t="s">
        <v>12</v>
      </c>
      <c r="M285" s="1" t="s">
        <v>59</v>
      </c>
      <c r="N285" s="1" t="s">
        <v>800</v>
      </c>
      <c r="O285" s="1" t="s">
        <v>802</v>
      </c>
    </row>
    <row r="286" spans="1:16" hidden="1" x14ac:dyDescent="0.25">
      <c r="A286" s="50" t="s">
        <v>455</v>
      </c>
      <c r="B286" s="26" t="s">
        <v>428</v>
      </c>
      <c r="C286" s="26" t="s">
        <v>428</v>
      </c>
      <c r="D286" s="27" t="s">
        <v>386</v>
      </c>
      <c r="E286" s="28">
        <v>44378</v>
      </c>
      <c r="F286" s="29">
        <v>4950.49</v>
      </c>
      <c r="G286" s="29">
        <v>-3465.42</v>
      </c>
      <c r="H286" s="29">
        <v>1485.07</v>
      </c>
      <c r="I286" s="29">
        <f t="shared" si="5"/>
        <v>1361.4688547385015</v>
      </c>
      <c r="J286" s="29">
        <f t="shared" si="5"/>
        <v>-953.04937462511748</v>
      </c>
      <c r="K286" s="29">
        <f t="shared" si="5"/>
        <v>408.419480113384</v>
      </c>
      <c r="L286" s="9" t="s">
        <v>12</v>
      </c>
      <c r="M286" s="1" t="s">
        <v>59</v>
      </c>
      <c r="N286" s="1" t="s">
        <v>800</v>
      </c>
      <c r="O286" s="1" t="s">
        <v>802</v>
      </c>
    </row>
    <row r="287" spans="1:16" hidden="1" x14ac:dyDescent="0.25">
      <c r="A287" s="50" t="s">
        <v>456</v>
      </c>
      <c r="B287" s="26" t="s">
        <v>457</v>
      </c>
      <c r="C287" s="26" t="s">
        <v>457</v>
      </c>
      <c r="D287" s="27" t="s">
        <v>386</v>
      </c>
      <c r="E287" s="28">
        <v>44378</v>
      </c>
      <c r="F287" s="29">
        <v>3902.15</v>
      </c>
      <c r="G287" s="29">
        <v>-2731.68</v>
      </c>
      <c r="H287" s="29">
        <v>1170.47</v>
      </c>
      <c r="I287" s="29">
        <f t="shared" si="5"/>
        <v>1073.1575443072995</v>
      </c>
      <c r="J287" s="29">
        <f t="shared" si="5"/>
        <v>-751.25840898821525</v>
      </c>
      <c r="K287" s="29">
        <f t="shared" si="5"/>
        <v>321.89913531908434</v>
      </c>
      <c r="L287" s="9" t="s">
        <v>12</v>
      </c>
      <c r="M287" s="1" t="s">
        <v>59</v>
      </c>
      <c r="N287" s="1" t="s">
        <v>800</v>
      </c>
      <c r="O287" s="1" t="s">
        <v>802</v>
      </c>
    </row>
    <row r="288" spans="1:16" hidden="1" x14ac:dyDescent="0.25">
      <c r="A288" s="50" t="s">
        <v>458</v>
      </c>
      <c r="B288" s="26" t="s">
        <v>426</v>
      </c>
      <c r="C288" s="26" t="s">
        <v>426</v>
      </c>
      <c r="D288" s="27" t="s">
        <v>386</v>
      </c>
      <c r="E288" s="28">
        <v>44378</v>
      </c>
      <c r="F288" s="29">
        <v>4671.78</v>
      </c>
      <c r="G288" s="29">
        <v>-3270.12</v>
      </c>
      <c r="H288" s="29">
        <v>1401.66</v>
      </c>
      <c r="I288" s="29">
        <f t="shared" si="5"/>
        <v>1284.8188696856748</v>
      </c>
      <c r="J288" s="29">
        <f t="shared" si="5"/>
        <v>-899.33855663933639</v>
      </c>
      <c r="K288" s="29">
        <f t="shared" si="5"/>
        <v>385.48031304633844</v>
      </c>
      <c r="L288" s="9" t="s">
        <v>12</v>
      </c>
      <c r="M288" s="1" t="s">
        <v>59</v>
      </c>
      <c r="N288" s="1" t="s">
        <v>800</v>
      </c>
      <c r="O288" s="1" t="s">
        <v>802</v>
      </c>
    </row>
    <row r="289" spans="1:16" hidden="1" x14ac:dyDescent="0.25">
      <c r="A289" s="50" t="s">
        <v>459</v>
      </c>
      <c r="B289" s="26" t="s">
        <v>426</v>
      </c>
      <c r="C289" s="26" t="s">
        <v>426</v>
      </c>
      <c r="D289" s="27" t="s">
        <v>386</v>
      </c>
      <c r="E289" s="28">
        <v>44378</v>
      </c>
      <c r="F289" s="29">
        <v>4671.79</v>
      </c>
      <c r="G289" s="29">
        <v>-3270.12</v>
      </c>
      <c r="H289" s="29">
        <v>1401.67</v>
      </c>
      <c r="I289" s="29">
        <f t="shared" si="5"/>
        <v>1284.8216198555665</v>
      </c>
      <c r="J289" s="29">
        <f t="shared" si="5"/>
        <v>-899.33855663933639</v>
      </c>
      <c r="K289" s="29">
        <f t="shared" si="5"/>
        <v>385.48306321623022</v>
      </c>
      <c r="L289" s="9" t="s">
        <v>12</v>
      </c>
      <c r="M289" s="1" t="s">
        <v>59</v>
      </c>
      <c r="N289" s="1" t="s">
        <v>800</v>
      </c>
      <c r="O289" s="1" t="s">
        <v>802</v>
      </c>
    </row>
    <row r="290" spans="1:16" hidden="1" x14ac:dyDescent="0.25">
      <c r="A290" s="50" t="s">
        <v>460</v>
      </c>
      <c r="B290" s="26" t="s">
        <v>461</v>
      </c>
      <c r="C290" s="26" t="s">
        <v>461</v>
      </c>
      <c r="D290" s="27" t="s">
        <v>461</v>
      </c>
      <c r="E290" s="28">
        <v>44378</v>
      </c>
      <c r="F290" s="29">
        <v>3679.07</v>
      </c>
      <c r="G290" s="29">
        <v>-2575.44</v>
      </c>
      <c r="H290" s="29">
        <v>1103.6300000000001</v>
      </c>
      <c r="I290" s="29">
        <f t="shared" si="5"/>
        <v>1011.8067543622508</v>
      </c>
      <c r="J290" s="29">
        <f t="shared" si="5"/>
        <v>-708.28975459959042</v>
      </c>
      <c r="K290" s="29">
        <f t="shared" si="5"/>
        <v>303.51699976266036</v>
      </c>
      <c r="L290" s="9" t="s">
        <v>12</v>
      </c>
      <c r="M290" s="1" t="s">
        <v>59</v>
      </c>
      <c r="N290" s="1" t="s">
        <v>800</v>
      </c>
      <c r="O290" s="1" t="s">
        <v>802</v>
      </c>
    </row>
    <row r="291" spans="1:16" hidden="1" x14ac:dyDescent="0.25">
      <c r="A291" s="50" t="s">
        <v>462</v>
      </c>
      <c r="B291" s="26" t="s">
        <v>463</v>
      </c>
      <c r="C291" s="26" t="s">
        <v>463</v>
      </c>
      <c r="D291" s="27" t="s">
        <v>463</v>
      </c>
      <c r="E291" s="28">
        <v>44378</v>
      </c>
      <c r="F291" s="29">
        <v>3679.06</v>
      </c>
      <c r="G291" s="29">
        <v>-2575.44</v>
      </c>
      <c r="H291" s="29">
        <v>1103.6199999999999</v>
      </c>
      <c r="I291" s="29">
        <f t="shared" si="5"/>
        <v>1011.804004192359</v>
      </c>
      <c r="J291" s="29">
        <f t="shared" si="5"/>
        <v>-708.28975459959042</v>
      </c>
      <c r="K291" s="29">
        <f t="shared" si="5"/>
        <v>303.51424959276858</v>
      </c>
      <c r="L291" s="9" t="s">
        <v>12</v>
      </c>
      <c r="M291" s="1" t="s">
        <v>59</v>
      </c>
      <c r="N291" s="1" t="s">
        <v>800</v>
      </c>
      <c r="O291" s="1" t="s">
        <v>802</v>
      </c>
    </row>
    <row r="292" spans="1:16" hidden="1" x14ac:dyDescent="0.25">
      <c r="A292" s="50" t="s">
        <v>464</v>
      </c>
      <c r="B292" s="26" t="s">
        <v>465</v>
      </c>
      <c r="C292" s="26" t="s">
        <v>465</v>
      </c>
      <c r="D292" s="27" t="s">
        <v>465</v>
      </c>
      <c r="E292" s="28">
        <v>44378</v>
      </c>
      <c r="F292" s="29">
        <v>3679.07</v>
      </c>
      <c r="G292" s="29">
        <v>-2575.44</v>
      </c>
      <c r="H292" s="29">
        <v>1103.6300000000001</v>
      </c>
      <c r="I292" s="29">
        <f t="shared" si="5"/>
        <v>1011.8067543622508</v>
      </c>
      <c r="J292" s="29">
        <f t="shared" si="5"/>
        <v>-708.28975459959042</v>
      </c>
      <c r="K292" s="29">
        <f t="shared" si="5"/>
        <v>303.51699976266036</v>
      </c>
      <c r="L292" s="9" t="s">
        <v>12</v>
      </c>
      <c r="M292" s="1" t="s">
        <v>59</v>
      </c>
      <c r="N292" s="1" t="s">
        <v>800</v>
      </c>
      <c r="O292" s="1" t="s">
        <v>802</v>
      </c>
    </row>
    <row r="293" spans="1:16" hidden="1" x14ac:dyDescent="0.25">
      <c r="A293" s="50" t="s">
        <v>466</v>
      </c>
      <c r="B293" s="26" t="s">
        <v>453</v>
      </c>
      <c r="C293" s="26" t="s">
        <v>453</v>
      </c>
      <c r="D293" s="27" t="s">
        <v>386</v>
      </c>
      <c r="E293" s="28">
        <v>44378</v>
      </c>
      <c r="F293" s="29">
        <v>1732.66</v>
      </c>
      <c r="G293" s="29">
        <v>-1212.96</v>
      </c>
      <c r="H293" s="29">
        <v>519.70000000000005</v>
      </c>
      <c r="I293" s="29">
        <f t="shared" si="5"/>
        <v>476.51093646310005</v>
      </c>
      <c r="J293" s="29">
        <f t="shared" si="5"/>
        <v>-333.58460718910914</v>
      </c>
      <c r="K293" s="29">
        <f t="shared" si="5"/>
        <v>142.92632927399092</v>
      </c>
      <c r="L293" s="9" t="s">
        <v>12</v>
      </c>
      <c r="M293" s="1" t="s">
        <v>59</v>
      </c>
      <c r="N293" s="1" t="s">
        <v>800</v>
      </c>
      <c r="O293" s="1" t="s">
        <v>802</v>
      </c>
    </row>
    <row r="294" spans="1:16" hidden="1" x14ac:dyDescent="0.25">
      <c r="A294" s="50" t="s">
        <v>467</v>
      </c>
      <c r="B294" s="26" t="s">
        <v>453</v>
      </c>
      <c r="C294" s="26" t="s">
        <v>453</v>
      </c>
      <c r="D294" s="27" t="s">
        <v>386</v>
      </c>
      <c r="E294" s="28">
        <v>44378</v>
      </c>
      <c r="F294" s="29">
        <v>1732.65</v>
      </c>
      <c r="G294" s="29">
        <v>-1212.96</v>
      </c>
      <c r="H294" s="29">
        <v>519.69000000000005</v>
      </c>
      <c r="I294" s="29">
        <f t="shared" si="5"/>
        <v>476.50818629320827</v>
      </c>
      <c r="J294" s="29">
        <f t="shared" si="5"/>
        <v>-333.58460718910914</v>
      </c>
      <c r="K294" s="29">
        <f t="shared" si="5"/>
        <v>142.92357910409916</v>
      </c>
      <c r="L294" s="9" t="s">
        <v>12</v>
      </c>
      <c r="M294" s="1" t="s">
        <v>59</v>
      </c>
      <c r="N294" s="1" t="s">
        <v>800</v>
      </c>
      <c r="O294" s="1" t="s">
        <v>802</v>
      </c>
    </row>
    <row r="295" spans="1:16" hidden="1" x14ac:dyDescent="0.25">
      <c r="A295" s="50" t="s">
        <v>468</v>
      </c>
      <c r="B295" s="26" t="s">
        <v>453</v>
      </c>
      <c r="C295" s="26" t="s">
        <v>453</v>
      </c>
      <c r="D295" s="27" t="s">
        <v>386</v>
      </c>
      <c r="E295" s="28">
        <v>44378</v>
      </c>
      <c r="F295" s="29">
        <v>1732.66</v>
      </c>
      <c r="G295" s="29">
        <v>-1212.96</v>
      </c>
      <c r="H295" s="29">
        <v>519.70000000000005</v>
      </c>
      <c r="I295" s="29">
        <f t="shared" si="5"/>
        <v>476.51093646310005</v>
      </c>
      <c r="J295" s="29">
        <f t="shared" si="5"/>
        <v>-333.58460718910914</v>
      </c>
      <c r="K295" s="29">
        <f t="shared" si="5"/>
        <v>142.92632927399092</v>
      </c>
      <c r="L295" s="9" t="s">
        <v>12</v>
      </c>
      <c r="M295" s="1" t="s">
        <v>59</v>
      </c>
      <c r="N295" s="1" t="s">
        <v>800</v>
      </c>
      <c r="O295" s="1" t="s">
        <v>802</v>
      </c>
    </row>
    <row r="296" spans="1:16" hidden="1" x14ac:dyDescent="0.25">
      <c r="A296" s="50" t="s">
        <v>469</v>
      </c>
      <c r="B296" s="26" t="s">
        <v>453</v>
      </c>
      <c r="C296" s="26" t="s">
        <v>453</v>
      </c>
      <c r="D296" s="27" t="s">
        <v>386</v>
      </c>
      <c r="E296" s="28">
        <v>44378</v>
      </c>
      <c r="F296" s="29">
        <v>1732.65</v>
      </c>
      <c r="G296" s="29">
        <v>-1212.96</v>
      </c>
      <c r="H296" s="29">
        <v>519.69000000000005</v>
      </c>
      <c r="I296" s="29">
        <f t="shared" si="5"/>
        <v>476.50818629320827</v>
      </c>
      <c r="J296" s="29">
        <f t="shared" si="5"/>
        <v>-333.58460718910914</v>
      </c>
      <c r="K296" s="29">
        <f t="shared" si="5"/>
        <v>142.92357910409916</v>
      </c>
      <c r="L296" s="9" t="s">
        <v>12</v>
      </c>
      <c r="M296" s="1" t="s">
        <v>59</v>
      </c>
      <c r="N296" s="1" t="s">
        <v>800</v>
      </c>
      <c r="O296" s="1" t="s">
        <v>802</v>
      </c>
    </row>
    <row r="297" spans="1:16" hidden="1" x14ac:dyDescent="0.25">
      <c r="A297" s="50" t="s">
        <v>470</v>
      </c>
      <c r="B297" s="26" t="s">
        <v>453</v>
      </c>
      <c r="C297" s="26" t="s">
        <v>453</v>
      </c>
      <c r="D297" s="27" t="s">
        <v>386</v>
      </c>
      <c r="E297" s="28">
        <v>44378</v>
      </c>
      <c r="F297" s="29">
        <v>1732.66</v>
      </c>
      <c r="G297" s="29">
        <v>-1212.96</v>
      </c>
      <c r="H297" s="29">
        <v>519.70000000000005</v>
      </c>
      <c r="I297" s="29">
        <f t="shared" si="5"/>
        <v>476.51093646310005</v>
      </c>
      <c r="J297" s="29">
        <f t="shared" si="5"/>
        <v>-333.58460718910914</v>
      </c>
      <c r="K297" s="29">
        <f t="shared" si="5"/>
        <v>142.92632927399092</v>
      </c>
      <c r="L297" s="9" t="s">
        <v>12</v>
      </c>
      <c r="M297" s="1" t="s">
        <v>59</v>
      </c>
      <c r="N297" s="1" t="s">
        <v>800</v>
      </c>
      <c r="O297" s="1" t="s">
        <v>802</v>
      </c>
    </row>
    <row r="298" spans="1:16" hidden="1" x14ac:dyDescent="0.25">
      <c r="A298" s="50" t="s">
        <v>471</v>
      </c>
      <c r="B298" s="26" t="s">
        <v>453</v>
      </c>
      <c r="C298" s="26" t="s">
        <v>453</v>
      </c>
      <c r="D298" s="27" t="s">
        <v>386</v>
      </c>
      <c r="E298" s="28">
        <v>44378</v>
      </c>
      <c r="F298" s="29">
        <v>1732.65</v>
      </c>
      <c r="G298" s="29">
        <v>-1212.96</v>
      </c>
      <c r="H298" s="29">
        <v>519.69000000000005</v>
      </c>
      <c r="I298" s="29">
        <f t="shared" si="5"/>
        <v>476.50818629320827</v>
      </c>
      <c r="J298" s="29">
        <f t="shared" si="5"/>
        <v>-333.58460718910914</v>
      </c>
      <c r="K298" s="29">
        <f t="shared" si="5"/>
        <v>142.92357910409916</v>
      </c>
      <c r="L298" s="9" t="s">
        <v>12</v>
      </c>
      <c r="M298" s="1" t="s">
        <v>59</v>
      </c>
      <c r="N298" s="1" t="s">
        <v>800</v>
      </c>
      <c r="O298" s="1" t="s">
        <v>802</v>
      </c>
    </row>
    <row r="299" spans="1:16" s="25" customFormat="1" x14ac:dyDescent="0.25">
      <c r="A299" s="53" t="s">
        <v>472</v>
      </c>
      <c r="B299" s="20" t="s">
        <v>473</v>
      </c>
      <c r="C299" s="20" t="s">
        <v>473</v>
      </c>
      <c r="D299" s="21" t="s">
        <v>386</v>
      </c>
      <c r="E299" s="22">
        <v>44378</v>
      </c>
      <c r="F299" s="23">
        <v>1732.66</v>
      </c>
      <c r="G299" s="23">
        <v>-1212.96</v>
      </c>
      <c r="H299" s="23">
        <v>519.70000000000005</v>
      </c>
      <c r="I299" s="23">
        <f t="shared" si="5"/>
        <v>476.51093646310005</v>
      </c>
      <c r="J299" s="23">
        <f t="shared" si="5"/>
        <v>-333.58460718910914</v>
      </c>
      <c r="K299" s="23">
        <f t="shared" si="5"/>
        <v>142.92632927399092</v>
      </c>
      <c r="L299" s="24" t="s">
        <v>12</v>
      </c>
      <c r="M299" s="25" t="s">
        <v>59</v>
      </c>
      <c r="N299" s="25" t="s">
        <v>794</v>
      </c>
      <c r="O299" s="25" t="s">
        <v>893</v>
      </c>
      <c r="P299" s="8">
        <v>519.70000000000005</v>
      </c>
    </row>
    <row r="300" spans="1:16" s="25" customFormat="1" x14ac:dyDescent="0.25">
      <c r="A300" s="53" t="s">
        <v>474</v>
      </c>
      <c r="B300" s="20" t="s">
        <v>473</v>
      </c>
      <c r="C300" s="20" t="s">
        <v>473</v>
      </c>
      <c r="D300" s="21" t="s">
        <v>386</v>
      </c>
      <c r="E300" s="22">
        <v>44378</v>
      </c>
      <c r="F300" s="23">
        <v>1732.66</v>
      </c>
      <c r="G300" s="23">
        <v>-1212.96</v>
      </c>
      <c r="H300" s="23">
        <v>519.70000000000005</v>
      </c>
      <c r="I300" s="23">
        <f t="shared" si="5"/>
        <v>476.51093646310005</v>
      </c>
      <c r="J300" s="23">
        <f t="shared" si="5"/>
        <v>-333.58460718910914</v>
      </c>
      <c r="K300" s="23">
        <f t="shared" si="5"/>
        <v>142.92632927399092</v>
      </c>
      <c r="L300" s="24" t="s">
        <v>12</v>
      </c>
      <c r="M300" s="25" t="s">
        <v>59</v>
      </c>
      <c r="N300" s="25" t="s">
        <v>794</v>
      </c>
      <c r="O300" s="25" t="s">
        <v>893</v>
      </c>
      <c r="P300" s="8">
        <v>519.70000000000005</v>
      </c>
    </row>
    <row r="301" spans="1:16" hidden="1" x14ac:dyDescent="0.25">
      <c r="A301" s="50" t="s">
        <v>475</v>
      </c>
      <c r="B301" s="26" t="s">
        <v>476</v>
      </c>
      <c r="C301" s="26" t="s">
        <v>476</v>
      </c>
      <c r="D301" s="27" t="s">
        <v>476</v>
      </c>
      <c r="E301" s="28">
        <v>44378</v>
      </c>
      <c r="F301" s="29">
        <v>2475.27</v>
      </c>
      <c r="G301" s="29">
        <v>-1732.5</v>
      </c>
      <c r="H301" s="29">
        <v>742.77</v>
      </c>
      <c r="I301" s="29">
        <f t="shared" si="5"/>
        <v>680.74130279398014</v>
      </c>
      <c r="J301" s="29">
        <f t="shared" si="5"/>
        <v>-476.46693374483209</v>
      </c>
      <c r="K301" s="29">
        <f t="shared" si="5"/>
        <v>204.27436904914799</v>
      </c>
      <c r="L301" s="9" t="s">
        <v>12</v>
      </c>
      <c r="M301" s="1" t="s">
        <v>59</v>
      </c>
      <c r="N301" s="1" t="s">
        <v>795</v>
      </c>
      <c r="O301" s="1" t="s">
        <v>802</v>
      </c>
    </row>
    <row r="302" spans="1:16" hidden="1" x14ac:dyDescent="0.25">
      <c r="A302" s="50" t="s">
        <v>477</v>
      </c>
      <c r="B302" s="26" t="s">
        <v>478</v>
      </c>
      <c r="C302" s="26" t="s">
        <v>478</v>
      </c>
      <c r="D302" s="27" t="s">
        <v>478</v>
      </c>
      <c r="E302" s="28">
        <v>44378</v>
      </c>
      <c r="F302" s="29">
        <v>3355.69</v>
      </c>
      <c r="G302" s="29">
        <v>-2349.06</v>
      </c>
      <c r="H302" s="29">
        <v>1006.63</v>
      </c>
      <c r="I302" s="29">
        <f t="shared" si="5"/>
        <v>922.87176040299892</v>
      </c>
      <c r="J302" s="29">
        <f t="shared" si="5"/>
        <v>-646.03140859026564</v>
      </c>
      <c r="K302" s="29">
        <f t="shared" si="5"/>
        <v>276.84035181273322</v>
      </c>
      <c r="L302" s="9" t="s">
        <v>12</v>
      </c>
      <c r="M302" s="1" t="s">
        <v>59</v>
      </c>
      <c r="N302" s="1" t="s">
        <v>795</v>
      </c>
      <c r="O302" s="1" t="s">
        <v>802</v>
      </c>
    </row>
    <row r="303" spans="1:16" hidden="1" x14ac:dyDescent="0.25">
      <c r="A303" s="50" t="s">
        <v>479</v>
      </c>
      <c r="B303" s="26" t="s">
        <v>409</v>
      </c>
      <c r="C303" s="26" t="s">
        <v>409</v>
      </c>
      <c r="D303" s="27" t="s">
        <v>409</v>
      </c>
      <c r="E303" s="28">
        <v>44378</v>
      </c>
      <c r="F303" s="29">
        <v>2475.2600000000002</v>
      </c>
      <c r="G303" s="29">
        <v>-1732.5</v>
      </c>
      <c r="H303" s="29">
        <v>742.76</v>
      </c>
      <c r="I303" s="29">
        <f t="shared" si="5"/>
        <v>680.73855262408836</v>
      </c>
      <c r="J303" s="29">
        <f t="shared" si="5"/>
        <v>-476.46693374483209</v>
      </c>
      <c r="K303" s="29">
        <f t="shared" si="5"/>
        <v>204.27161887925627</v>
      </c>
      <c r="L303" s="9" t="s">
        <v>12</v>
      </c>
      <c r="M303" s="1" t="s">
        <v>59</v>
      </c>
      <c r="N303" s="1" t="s">
        <v>795</v>
      </c>
      <c r="O303" s="1" t="s">
        <v>802</v>
      </c>
    </row>
    <row r="304" spans="1:16" hidden="1" x14ac:dyDescent="0.25">
      <c r="A304" s="50" t="s">
        <v>480</v>
      </c>
      <c r="B304" s="26" t="s">
        <v>481</v>
      </c>
      <c r="C304" s="26" t="s">
        <v>481</v>
      </c>
      <c r="D304" s="27" t="s">
        <v>386</v>
      </c>
      <c r="E304" s="28">
        <v>44378</v>
      </c>
      <c r="F304" s="29">
        <v>5860.49</v>
      </c>
      <c r="G304" s="29">
        <v>-4102.1400000000003</v>
      </c>
      <c r="H304" s="29">
        <v>1758.35</v>
      </c>
      <c r="I304" s="29">
        <f t="shared" si="5"/>
        <v>1611.7343148873022</v>
      </c>
      <c r="J304" s="29">
        <f t="shared" si="5"/>
        <v>-1128.1581919723092</v>
      </c>
      <c r="K304" s="29">
        <f t="shared" si="5"/>
        <v>483.57612291499305</v>
      </c>
      <c r="L304" s="9" t="s">
        <v>12</v>
      </c>
      <c r="M304" s="1" t="s">
        <v>59</v>
      </c>
      <c r="N304" s="1" t="s">
        <v>795</v>
      </c>
      <c r="O304" s="1" t="s">
        <v>802</v>
      </c>
    </row>
    <row r="305" spans="1:16" hidden="1" x14ac:dyDescent="0.25">
      <c r="A305" s="50" t="s">
        <v>482</v>
      </c>
      <c r="B305" s="26" t="s">
        <v>483</v>
      </c>
      <c r="C305" s="26" t="s">
        <v>483</v>
      </c>
      <c r="D305" s="27" t="s">
        <v>386</v>
      </c>
      <c r="E305" s="28">
        <v>44378</v>
      </c>
      <c r="F305" s="29">
        <v>369.2</v>
      </c>
      <c r="G305" s="29">
        <v>-368.2</v>
      </c>
      <c r="H305" s="29">
        <v>1</v>
      </c>
      <c r="I305" s="29">
        <f t="shared" si="5"/>
        <v>101.53627240322771</v>
      </c>
      <c r="J305" s="29">
        <f t="shared" si="5"/>
        <v>-101.2612554140532</v>
      </c>
      <c r="K305" s="29">
        <f t="shared" si="5"/>
        <v>0.27501698917450623</v>
      </c>
      <c r="L305" s="9" t="s">
        <v>12</v>
      </c>
      <c r="M305" s="1" t="s">
        <v>59</v>
      </c>
      <c r="N305" s="1" t="s">
        <v>795</v>
      </c>
      <c r="O305" s="1" t="s">
        <v>802</v>
      </c>
    </row>
    <row r="306" spans="1:16" hidden="1" x14ac:dyDescent="0.25">
      <c r="A306" s="50" t="s">
        <v>484</v>
      </c>
      <c r="B306" s="26" t="s">
        <v>483</v>
      </c>
      <c r="C306" s="26" t="s">
        <v>483</v>
      </c>
      <c r="D306" s="27" t="s">
        <v>386</v>
      </c>
      <c r="E306" s="28">
        <v>44378</v>
      </c>
      <c r="F306" s="29">
        <v>369.2</v>
      </c>
      <c r="G306" s="29">
        <v>-368.2</v>
      </c>
      <c r="H306" s="29">
        <v>1</v>
      </c>
      <c r="I306" s="29">
        <f t="shared" si="5"/>
        <v>101.53627240322771</v>
      </c>
      <c r="J306" s="29">
        <f t="shared" si="5"/>
        <v>-101.2612554140532</v>
      </c>
      <c r="K306" s="29">
        <f t="shared" si="5"/>
        <v>0.27501698917450623</v>
      </c>
      <c r="L306" s="9" t="s">
        <v>12</v>
      </c>
      <c r="M306" s="1" t="s">
        <v>59</v>
      </c>
      <c r="N306" s="1" t="s">
        <v>795</v>
      </c>
      <c r="O306" s="1" t="s">
        <v>802</v>
      </c>
    </row>
    <row r="307" spans="1:16" hidden="1" x14ac:dyDescent="0.25">
      <c r="A307" s="50" t="s">
        <v>485</v>
      </c>
      <c r="B307" s="26" t="s">
        <v>483</v>
      </c>
      <c r="C307" s="26" t="s">
        <v>483</v>
      </c>
      <c r="D307" s="27" t="s">
        <v>386</v>
      </c>
      <c r="E307" s="28">
        <v>44378</v>
      </c>
      <c r="F307" s="29">
        <v>369.2</v>
      </c>
      <c r="G307" s="29">
        <v>-368.2</v>
      </c>
      <c r="H307" s="29">
        <v>1</v>
      </c>
      <c r="I307" s="29">
        <f t="shared" si="5"/>
        <v>101.53627240322771</v>
      </c>
      <c r="J307" s="29">
        <f t="shared" si="5"/>
        <v>-101.2612554140532</v>
      </c>
      <c r="K307" s="29">
        <f t="shared" si="5"/>
        <v>0.27501698917450623</v>
      </c>
      <c r="L307" s="9" t="s">
        <v>12</v>
      </c>
      <c r="M307" s="1" t="s">
        <v>59</v>
      </c>
      <c r="N307" s="1" t="s">
        <v>795</v>
      </c>
      <c r="O307" s="1" t="s">
        <v>802</v>
      </c>
    </row>
    <row r="308" spans="1:16" hidden="1" x14ac:dyDescent="0.25">
      <c r="A308" s="50" t="s">
        <v>486</v>
      </c>
      <c r="B308" s="26" t="s">
        <v>483</v>
      </c>
      <c r="C308" s="26" t="s">
        <v>483</v>
      </c>
      <c r="D308" s="27" t="s">
        <v>386</v>
      </c>
      <c r="E308" s="28">
        <v>44378</v>
      </c>
      <c r="F308" s="29">
        <v>369.2</v>
      </c>
      <c r="G308" s="29">
        <v>-368.2</v>
      </c>
      <c r="H308" s="29">
        <v>1</v>
      </c>
      <c r="I308" s="29">
        <f t="shared" si="5"/>
        <v>101.53627240322771</v>
      </c>
      <c r="J308" s="29">
        <f t="shared" si="5"/>
        <v>-101.2612554140532</v>
      </c>
      <c r="K308" s="29">
        <f t="shared" si="5"/>
        <v>0.27501698917450623</v>
      </c>
      <c r="L308" s="9" t="s">
        <v>12</v>
      </c>
      <c r="M308" s="1" t="s">
        <v>59</v>
      </c>
      <c r="N308" s="1" t="s">
        <v>795</v>
      </c>
      <c r="O308" s="1" t="s">
        <v>802</v>
      </c>
    </row>
    <row r="309" spans="1:16" hidden="1" x14ac:dyDescent="0.25">
      <c r="A309" s="50" t="s">
        <v>487</v>
      </c>
      <c r="B309" s="26" t="s">
        <v>488</v>
      </c>
      <c r="C309" s="26" t="s">
        <v>488</v>
      </c>
      <c r="D309" s="27" t="s">
        <v>386</v>
      </c>
      <c r="E309" s="28">
        <v>44378</v>
      </c>
      <c r="F309" s="29">
        <v>29900.99</v>
      </c>
      <c r="G309" s="29">
        <v>-20930.7</v>
      </c>
      <c r="H309" s="29">
        <v>8970.2900000000009</v>
      </c>
      <c r="I309" s="29">
        <f t="shared" si="5"/>
        <v>8223.2802431370201</v>
      </c>
      <c r="J309" s="29">
        <f t="shared" si="5"/>
        <v>-5756.2980953148381</v>
      </c>
      <c r="K309" s="29">
        <f t="shared" si="5"/>
        <v>2466.982147822182</v>
      </c>
      <c r="L309" s="9" t="s">
        <v>12</v>
      </c>
      <c r="M309" s="1" t="s">
        <v>59</v>
      </c>
      <c r="N309" s="1" t="s">
        <v>795</v>
      </c>
      <c r="O309" s="1" t="s">
        <v>802</v>
      </c>
    </row>
    <row r="310" spans="1:16" hidden="1" x14ac:dyDescent="0.25">
      <c r="A310" s="50" t="s">
        <v>489</v>
      </c>
      <c r="B310" s="26" t="s">
        <v>490</v>
      </c>
      <c r="C310" s="26" t="s">
        <v>490</v>
      </c>
      <c r="D310" s="27" t="s">
        <v>490</v>
      </c>
      <c r="E310" s="28">
        <v>44378</v>
      </c>
      <c r="F310" s="29">
        <v>7151.03</v>
      </c>
      <c r="G310" s="29">
        <v>-5005.5600000000004</v>
      </c>
      <c r="H310" s="29">
        <v>2145.4699999999998</v>
      </c>
      <c r="I310" s="29">
        <f t="shared" si="5"/>
        <v>1966.6547400965694</v>
      </c>
      <c r="J310" s="29">
        <f t="shared" si="5"/>
        <v>-1376.6140403323416</v>
      </c>
      <c r="K310" s="29">
        <f t="shared" si="5"/>
        <v>590.04069976422784</v>
      </c>
      <c r="L310" s="9" t="s">
        <v>12</v>
      </c>
      <c r="M310" s="1" t="s">
        <v>59</v>
      </c>
      <c r="N310" s="1" t="s">
        <v>795</v>
      </c>
      <c r="O310" s="1" t="s">
        <v>802</v>
      </c>
    </row>
    <row r="311" spans="1:16" hidden="1" x14ac:dyDescent="0.25">
      <c r="A311" s="50" t="s">
        <v>491</v>
      </c>
      <c r="B311" s="26" t="s">
        <v>492</v>
      </c>
      <c r="C311" s="26" t="s">
        <v>492</v>
      </c>
      <c r="D311" s="27" t="s">
        <v>386</v>
      </c>
      <c r="E311" s="28">
        <v>44378</v>
      </c>
      <c r="F311" s="29">
        <v>26852.49</v>
      </c>
      <c r="G311" s="29">
        <v>-18796.68</v>
      </c>
      <c r="H311" s="29">
        <v>8055.81</v>
      </c>
      <c r="I311" s="29">
        <f t="shared" si="5"/>
        <v>7384.8909516385374</v>
      </c>
      <c r="J311" s="29">
        <f t="shared" si="5"/>
        <v>-5169.4063400766581</v>
      </c>
      <c r="K311" s="29">
        <f t="shared" si="5"/>
        <v>2215.4846115618793</v>
      </c>
      <c r="L311" s="9" t="s">
        <v>12</v>
      </c>
      <c r="M311" s="1" t="s">
        <v>59</v>
      </c>
      <c r="N311" s="1" t="s">
        <v>795</v>
      </c>
      <c r="O311" s="1" t="s">
        <v>799</v>
      </c>
    </row>
    <row r="312" spans="1:16" hidden="1" x14ac:dyDescent="0.25">
      <c r="A312" s="50" t="s">
        <v>493</v>
      </c>
      <c r="B312" s="26" t="s">
        <v>494</v>
      </c>
      <c r="C312" s="26" t="s">
        <v>494</v>
      </c>
      <c r="D312" s="27" t="s">
        <v>386</v>
      </c>
      <c r="E312" s="28">
        <v>44378</v>
      </c>
      <c r="F312" s="29">
        <v>4495.54</v>
      </c>
      <c r="G312" s="29">
        <v>-3147.06</v>
      </c>
      <c r="H312" s="29">
        <v>1348.48</v>
      </c>
      <c r="I312" s="29">
        <f t="shared" si="5"/>
        <v>1236.3498755135599</v>
      </c>
      <c r="J312" s="29">
        <f t="shared" si="5"/>
        <v>-865.49496595152164</v>
      </c>
      <c r="K312" s="29">
        <f t="shared" si="5"/>
        <v>370.85490956203819</v>
      </c>
      <c r="L312" s="9" t="s">
        <v>12</v>
      </c>
      <c r="M312" s="1" t="s">
        <v>59</v>
      </c>
      <c r="N312" s="1" t="s">
        <v>795</v>
      </c>
      <c r="O312" s="1" t="s">
        <v>799</v>
      </c>
    </row>
    <row r="313" spans="1:16" hidden="1" x14ac:dyDescent="0.25">
      <c r="A313" s="50" t="s">
        <v>495</v>
      </c>
      <c r="B313" s="26" t="s">
        <v>496</v>
      </c>
      <c r="C313" s="26" t="s">
        <v>496</v>
      </c>
      <c r="D313" s="27" t="s">
        <v>386</v>
      </c>
      <c r="E313" s="28">
        <v>44378</v>
      </c>
      <c r="F313" s="29">
        <v>9276.74</v>
      </c>
      <c r="G313" s="29">
        <v>-6493.62</v>
      </c>
      <c r="H313" s="29">
        <v>2783.12</v>
      </c>
      <c r="I313" s="29">
        <f t="shared" si="5"/>
        <v>2551.2611041547093</v>
      </c>
      <c r="J313" s="29">
        <f t="shared" si="5"/>
        <v>-1785.8558212433572</v>
      </c>
      <c r="K313" s="29">
        <f t="shared" si="5"/>
        <v>765.40528291135183</v>
      </c>
      <c r="L313" s="9" t="s">
        <v>12</v>
      </c>
      <c r="M313" s="1" t="s">
        <v>59</v>
      </c>
      <c r="N313" s="1" t="s">
        <v>795</v>
      </c>
      <c r="O313" s="1" t="s">
        <v>799</v>
      </c>
    </row>
    <row r="314" spans="1:16" hidden="1" x14ac:dyDescent="0.25">
      <c r="A314" s="50" t="s">
        <v>497</v>
      </c>
      <c r="B314" s="26" t="s">
        <v>498</v>
      </c>
      <c r="C314" s="26" t="s">
        <v>498</v>
      </c>
      <c r="D314" s="27" t="s">
        <v>386</v>
      </c>
      <c r="E314" s="28">
        <v>44378</v>
      </c>
      <c r="F314" s="29">
        <v>17449.759999999998</v>
      </c>
      <c r="G314" s="29">
        <v>-12214.86</v>
      </c>
      <c r="H314" s="29">
        <v>5234.8999999999996</v>
      </c>
      <c r="I314" s="29">
        <f t="shared" si="5"/>
        <v>4798.9804570177321</v>
      </c>
      <c r="J314" s="29">
        <f t="shared" si="5"/>
        <v>-3359.2940203881094</v>
      </c>
      <c r="K314" s="29">
        <f t="shared" si="5"/>
        <v>1439.6864366296227</v>
      </c>
      <c r="L314" s="9" t="s">
        <v>12</v>
      </c>
      <c r="M314" s="1" t="s">
        <v>59</v>
      </c>
      <c r="N314" s="1" t="s">
        <v>795</v>
      </c>
      <c r="O314" s="1" t="s">
        <v>799</v>
      </c>
    </row>
    <row r="315" spans="1:16" hidden="1" x14ac:dyDescent="0.25">
      <c r="A315" s="50" t="s">
        <v>499</v>
      </c>
      <c r="B315" s="26" t="s">
        <v>500</v>
      </c>
      <c r="C315" s="26" t="s">
        <v>500</v>
      </c>
      <c r="D315" s="27" t="s">
        <v>386</v>
      </c>
      <c r="E315" s="28">
        <v>44378</v>
      </c>
      <c r="F315" s="29">
        <v>4879.95</v>
      </c>
      <c r="G315" s="29">
        <v>-3415.86</v>
      </c>
      <c r="H315" s="29">
        <v>1464.09</v>
      </c>
      <c r="I315" s="29">
        <f t="shared" si="5"/>
        <v>1342.0691563221317</v>
      </c>
      <c r="J315" s="29">
        <f t="shared" si="5"/>
        <v>-939.41953264162896</v>
      </c>
      <c r="K315" s="29">
        <f t="shared" si="5"/>
        <v>402.64962368050283</v>
      </c>
      <c r="L315" s="9" t="s">
        <v>12</v>
      </c>
      <c r="M315" s="1" t="s">
        <v>59</v>
      </c>
      <c r="N315" s="1" t="s">
        <v>795</v>
      </c>
      <c r="O315" s="1" t="s">
        <v>799</v>
      </c>
    </row>
    <row r="316" spans="1:16" s="25" customFormat="1" x14ac:dyDescent="0.25">
      <c r="A316" s="53" t="s">
        <v>501</v>
      </c>
      <c r="B316" s="20" t="s">
        <v>473</v>
      </c>
      <c r="C316" s="20" t="s">
        <v>473</v>
      </c>
      <c r="D316" s="21" t="s">
        <v>386</v>
      </c>
      <c r="E316" s="22">
        <v>44378</v>
      </c>
      <c r="F316" s="23">
        <v>1732.65</v>
      </c>
      <c r="G316" s="23">
        <v>-1212.96</v>
      </c>
      <c r="H316" s="23">
        <v>519.69000000000005</v>
      </c>
      <c r="I316" s="23">
        <f t="shared" si="5"/>
        <v>476.50818629320827</v>
      </c>
      <c r="J316" s="23">
        <f t="shared" si="5"/>
        <v>-333.58460718910914</v>
      </c>
      <c r="K316" s="23">
        <f t="shared" si="5"/>
        <v>142.92357910409916</v>
      </c>
      <c r="L316" s="24" t="s">
        <v>12</v>
      </c>
      <c r="M316" s="25" t="s">
        <v>59</v>
      </c>
      <c r="N316" s="25" t="s">
        <v>794</v>
      </c>
      <c r="O316" s="25" t="s">
        <v>893</v>
      </c>
      <c r="P316" s="8">
        <v>519.69000000000005</v>
      </c>
    </row>
    <row r="317" spans="1:16" hidden="1" x14ac:dyDescent="0.25">
      <c r="A317" s="50" t="s">
        <v>502</v>
      </c>
      <c r="B317" s="26" t="s">
        <v>503</v>
      </c>
      <c r="C317" s="26" t="s">
        <v>503</v>
      </c>
      <c r="D317" s="27" t="s">
        <v>503</v>
      </c>
      <c r="E317" s="28">
        <v>44378</v>
      </c>
      <c r="F317" s="29">
        <v>2475.27</v>
      </c>
      <c r="G317" s="29">
        <v>-1732.5</v>
      </c>
      <c r="H317" s="29">
        <v>742.77</v>
      </c>
      <c r="I317" s="29">
        <f t="shared" si="5"/>
        <v>680.74130279398014</v>
      </c>
      <c r="J317" s="29">
        <f t="shared" si="5"/>
        <v>-476.46693374483209</v>
      </c>
      <c r="K317" s="29">
        <f t="shared" si="5"/>
        <v>204.27436904914799</v>
      </c>
      <c r="L317" s="9" t="s">
        <v>12</v>
      </c>
      <c r="M317" s="1" t="s">
        <v>59</v>
      </c>
      <c r="N317" s="1" t="s">
        <v>795</v>
      </c>
      <c r="O317" s="1" t="s">
        <v>802</v>
      </c>
    </row>
    <row r="318" spans="1:16" hidden="1" x14ac:dyDescent="0.25">
      <c r="A318" s="50" t="s">
        <v>504</v>
      </c>
      <c r="B318" s="26" t="s">
        <v>505</v>
      </c>
      <c r="C318" s="26" t="s">
        <v>505</v>
      </c>
      <c r="D318" s="27" t="s">
        <v>386</v>
      </c>
      <c r="E318" s="28">
        <v>44378</v>
      </c>
      <c r="F318" s="29">
        <v>7427.98</v>
      </c>
      <c r="G318" s="29">
        <v>-5199.6000000000004</v>
      </c>
      <c r="H318" s="29">
        <v>2228.38</v>
      </c>
      <c r="I318" s="29">
        <f t="shared" si="5"/>
        <v>2042.8206952484488</v>
      </c>
      <c r="J318" s="29">
        <f t="shared" si="5"/>
        <v>-1429.9783369117629</v>
      </c>
      <c r="K318" s="29">
        <f t="shared" si="5"/>
        <v>612.84235833668629</v>
      </c>
      <c r="L318" s="9" t="s">
        <v>12</v>
      </c>
      <c r="M318" s="1" t="s">
        <v>59</v>
      </c>
      <c r="N318" s="1" t="s">
        <v>795</v>
      </c>
      <c r="O318" s="1" t="s">
        <v>799</v>
      </c>
    </row>
    <row r="319" spans="1:16" hidden="1" x14ac:dyDescent="0.25">
      <c r="A319" s="50" t="s">
        <v>506</v>
      </c>
      <c r="B319" s="26" t="s">
        <v>507</v>
      </c>
      <c r="C319" s="26" t="s">
        <v>507</v>
      </c>
      <c r="D319" s="27" t="s">
        <v>386</v>
      </c>
      <c r="E319" s="28">
        <v>44378</v>
      </c>
      <c r="F319" s="29">
        <v>2710.4</v>
      </c>
      <c r="G319" s="29">
        <v>-1897.14</v>
      </c>
      <c r="H319" s="29">
        <v>813.26</v>
      </c>
      <c r="I319" s="29">
        <f t="shared" si="5"/>
        <v>745.40604745858172</v>
      </c>
      <c r="J319" s="29">
        <f t="shared" si="5"/>
        <v>-521.74573084252279</v>
      </c>
      <c r="K319" s="29">
        <f t="shared" si="5"/>
        <v>223.66031661605896</v>
      </c>
      <c r="L319" s="9" t="s">
        <v>12</v>
      </c>
      <c r="M319" s="1" t="s">
        <v>59</v>
      </c>
      <c r="N319" s="1" t="s">
        <v>795</v>
      </c>
      <c r="O319" s="1" t="s">
        <v>802</v>
      </c>
    </row>
    <row r="320" spans="1:16" s="35" customFormat="1" hidden="1" x14ac:dyDescent="0.25">
      <c r="A320" s="52" t="s">
        <v>508</v>
      </c>
      <c r="B320" s="30" t="s">
        <v>509</v>
      </c>
      <c r="C320" s="30" t="s">
        <v>509</v>
      </c>
      <c r="D320" s="31" t="s">
        <v>386</v>
      </c>
      <c r="E320" s="32">
        <v>44378</v>
      </c>
      <c r="F320" s="33">
        <v>16562.86</v>
      </c>
      <c r="G320" s="33">
        <v>-11594.1</v>
      </c>
      <c r="H320" s="33">
        <v>4968.76</v>
      </c>
      <c r="I320" s="33">
        <f t="shared" si="5"/>
        <v>4555.0678893188624</v>
      </c>
      <c r="J320" s="33">
        <f t="shared" si="5"/>
        <v>-3188.5744741881431</v>
      </c>
      <c r="K320" s="33">
        <f t="shared" si="5"/>
        <v>1366.4934151307198</v>
      </c>
      <c r="L320" s="34" t="s">
        <v>12</v>
      </c>
      <c r="M320" s="35" t="s">
        <v>59</v>
      </c>
      <c r="N320" s="1" t="s">
        <v>795</v>
      </c>
      <c r="O320" s="1" t="s">
        <v>802</v>
      </c>
    </row>
    <row r="321" spans="1:15" s="35" customFormat="1" hidden="1" x14ac:dyDescent="0.25">
      <c r="A321" s="52" t="s">
        <v>510</v>
      </c>
      <c r="B321" s="30" t="s">
        <v>511</v>
      </c>
      <c r="C321" s="30" t="s">
        <v>511</v>
      </c>
      <c r="D321" s="31" t="s">
        <v>386</v>
      </c>
      <c r="E321" s="32">
        <v>44378</v>
      </c>
      <c r="F321" s="33">
        <v>18182.91</v>
      </c>
      <c r="G321" s="33">
        <v>-12728.1</v>
      </c>
      <c r="H321" s="33">
        <v>5454.81</v>
      </c>
      <c r="I321" s="33">
        <f t="shared" si="5"/>
        <v>5000.6091626310217</v>
      </c>
      <c r="J321" s="33">
        <f t="shared" si="5"/>
        <v>-3500.4437399120334</v>
      </c>
      <c r="K321" s="33">
        <f t="shared" si="5"/>
        <v>1500.1654227189886</v>
      </c>
      <c r="L321" s="34" t="s">
        <v>12</v>
      </c>
      <c r="M321" s="35" t="s">
        <v>59</v>
      </c>
      <c r="N321" s="1" t="s">
        <v>795</v>
      </c>
      <c r="O321" s="1" t="s">
        <v>802</v>
      </c>
    </row>
    <row r="322" spans="1:15" s="35" customFormat="1" hidden="1" x14ac:dyDescent="0.25">
      <c r="A322" s="52" t="s">
        <v>512</v>
      </c>
      <c r="B322" s="30" t="s">
        <v>385</v>
      </c>
      <c r="C322" s="30" t="s">
        <v>385</v>
      </c>
      <c r="D322" s="31" t="s">
        <v>386</v>
      </c>
      <c r="E322" s="32">
        <v>44378</v>
      </c>
      <c r="F322" s="33">
        <v>23505.38</v>
      </c>
      <c r="G322" s="33">
        <v>-16453.919999999998</v>
      </c>
      <c r="H322" s="33">
        <v>7051.46</v>
      </c>
      <c r="I322" s="33">
        <f t="shared" si="5"/>
        <v>6464.3788370026559</v>
      </c>
      <c r="J322" s="33">
        <f t="shared" si="5"/>
        <v>-4525.1075385181912</v>
      </c>
      <c r="K322" s="33">
        <f t="shared" si="5"/>
        <v>1939.2712984844638</v>
      </c>
      <c r="L322" s="34" t="s">
        <v>12</v>
      </c>
      <c r="M322" s="35" t="s">
        <v>59</v>
      </c>
      <c r="N322" s="1" t="s">
        <v>795</v>
      </c>
      <c r="O322" s="1" t="s">
        <v>802</v>
      </c>
    </row>
    <row r="323" spans="1:15" hidden="1" x14ac:dyDescent="0.25">
      <c r="A323" s="50" t="s">
        <v>513</v>
      </c>
      <c r="B323" s="26" t="s">
        <v>451</v>
      </c>
      <c r="C323" s="26" t="s">
        <v>451</v>
      </c>
      <c r="D323" s="27" t="s">
        <v>386</v>
      </c>
      <c r="E323" s="28">
        <v>44378</v>
      </c>
      <c r="F323" s="29">
        <v>17863.84</v>
      </c>
      <c r="G323" s="29">
        <v>-12504.66</v>
      </c>
      <c r="H323" s="29">
        <v>5359.18</v>
      </c>
      <c r="I323" s="29">
        <f t="shared" si="5"/>
        <v>4912.8594918951121</v>
      </c>
      <c r="J323" s="29">
        <f t="shared" si="5"/>
        <v>-3438.9939438508814</v>
      </c>
      <c r="K323" s="29">
        <f t="shared" si="5"/>
        <v>1473.8655480442305</v>
      </c>
      <c r="L323" s="9" t="s">
        <v>12</v>
      </c>
      <c r="M323" s="1" t="s">
        <v>59</v>
      </c>
      <c r="N323" s="1" t="s">
        <v>795</v>
      </c>
      <c r="O323" s="1" t="s">
        <v>802</v>
      </c>
    </row>
    <row r="324" spans="1:15" hidden="1" x14ac:dyDescent="0.25">
      <c r="A324" s="50" t="s">
        <v>514</v>
      </c>
      <c r="B324" s="26" t="s">
        <v>515</v>
      </c>
      <c r="C324" s="26" t="s">
        <v>515</v>
      </c>
      <c r="D324" s="27" t="s">
        <v>386</v>
      </c>
      <c r="E324" s="28">
        <v>44378</v>
      </c>
      <c r="F324" s="29">
        <v>5954.94</v>
      </c>
      <c r="G324" s="29">
        <v>-4168.5</v>
      </c>
      <c r="H324" s="29">
        <v>1786.44</v>
      </c>
      <c r="I324" s="29">
        <f t="shared" si="5"/>
        <v>1637.7096695148341</v>
      </c>
      <c r="J324" s="29">
        <f t="shared" si="5"/>
        <v>-1146.4083193739293</v>
      </c>
      <c r="K324" s="29">
        <f t="shared" si="5"/>
        <v>491.30135014090496</v>
      </c>
      <c r="L324" s="9" t="s">
        <v>12</v>
      </c>
      <c r="M324" s="1" t="s">
        <v>59</v>
      </c>
      <c r="N324" s="1" t="s">
        <v>795</v>
      </c>
      <c r="O324" s="1" t="s">
        <v>802</v>
      </c>
    </row>
    <row r="325" spans="1:15" hidden="1" x14ac:dyDescent="0.25">
      <c r="A325" s="50" t="s">
        <v>516</v>
      </c>
      <c r="B325" s="26" t="s">
        <v>515</v>
      </c>
      <c r="C325" s="26" t="s">
        <v>515</v>
      </c>
      <c r="D325" s="27" t="s">
        <v>386</v>
      </c>
      <c r="E325" s="28">
        <v>44378</v>
      </c>
      <c r="F325" s="29">
        <v>5954.94</v>
      </c>
      <c r="G325" s="29">
        <v>-4168.5</v>
      </c>
      <c r="H325" s="29">
        <v>1786.44</v>
      </c>
      <c r="I325" s="29">
        <f t="shared" si="5"/>
        <v>1637.7096695148341</v>
      </c>
      <c r="J325" s="29">
        <f t="shared" si="5"/>
        <v>-1146.4083193739293</v>
      </c>
      <c r="K325" s="29">
        <f t="shared" si="5"/>
        <v>491.30135014090496</v>
      </c>
      <c r="L325" s="9" t="s">
        <v>12</v>
      </c>
      <c r="M325" s="1" t="s">
        <v>59</v>
      </c>
      <c r="N325" s="1" t="s">
        <v>795</v>
      </c>
      <c r="O325" s="1" t="s">
        <v>802</v>
      </c>
    </row>
    <row r="326" spans="1:15" hidden="1" x14ac:dyDescent="0.25">
      <c r="A326" s="50" t="s">
        <v>517</v>
      </c>
      <c r="B326" s="26" t="s">
        <v>518</v>
      </c>
      <c r="C326" s="26" t="s">
        <v>518</v>
      </c>
      <c r="D326" s="27" t="s">
        <v>386</v>
      </c>
      <c r="E326" s="28">
        <v>44378</v>
      </c>
      <c r="F326" s="29">
        <v>2432.7199999999998</v>
      </c>
      <c r="G326" s="29">
        <v>-1703.1</v>
      </c>
      <c r="H326" s="29">
        <v>729.62</v>
      </c>
      <c r="I326" s="29">
        <f t="shared" ref="I326:K364" si="6">F326/3.636139</f>
        <v>669.03932990460476</v>
      </c>
      <c r="J326" s="29">
        <f t="shared" si="6"/>
        <v>-468.3814342631016</v>
      </c>
      <c r="K326" s="29">
        <f t="shared" si="6"/>
        <v>200.65789564150325</v>
      </c>
      <c r="L326" s="9" t="s">
        <v>12</v>
      </c>
      <c r="M326" s="1" t="s">
        <v>59</v>
      </c>
      <c r="N326" s="1" t="s">
        <v>795</v>
      </c>
      <c r="O326" s="1" t="s">
        <v>802</v>
      </c>
    </row>
    <row r="327" spans="1:15" hidden="1" x14ac:dyDescent="0.25">
      <c r="A327" s="50" t="s">
        <v>519</v>
      </c>
      <c r="B327" s="26" t="s">
        <v>518</v>
      </c>
      <c r="C327" s="26" t="s">
        <v>518</v>
      </c>
      <c r="D327" s="27" t="s">
        <v>386</v>
      </c>
      <c r="E327" s="28">
        <v>44378</v>
      </c>
      <c r="F327" s="29">
        <v>2432.7199999999998</v>
      </c>
      <c r="G327" s="29">
        <v>-1703.1</v>
      </c>
      <c r="H327" s="29">
        <v>729.62</v>
      </c>
      <c r="I327" s="29">
        <f t="shared" si="6"/>
        <v>669.03932990460476</v>
      </c>
      <c r="J327" s="29">
        <f t="shared" si="6"/>
        <v>-468.3814342631016</v>
      </c>
      <c r="K327" s="29">
        <f t="shared" si="6"/>
        <v>200.65789564150325</v>
      </c>
      <c r="L327" s="9" t="s">
        <v>12</v>
      </c>
      <c r="M327" s="1" t="s">
        <v>59</v>
      </c>
      <c r="N327" s="1" t="s">
        <v>795</v>
      </c>
      <c r="O327" s="1" t="s">
        <v>802</v>
      </c>
    </row>
    <row r="328" spans="1:15" hidden="1" x14ac:dyDescent="0.25">
      <c r="A328" s="50" t="s">
        <v>520</v>
      </c>
      <c r="B328" s="26" t="s">
        <v>518</v>
      </c>
      <c r="C328" s="26" t="s">
        <v>518</v>
      </c>
      <c r="D328" s="27" t="s">
        <v>386</v>
      </c>
      <c r="E328" s="28">
        <v>44378</v>
      </c>
      <c r="F328" s="29">
        <v>2432.7199999999998</v>
      </c>
      <c r="G328" s="29">
        <v>-1703.1</v>
      </c>
      <c r="H328" s="29">
        <v>729.62</v>
      </c>
      <c r="I328" s="29">
        <f t="shared" si="6"/>
        <v>669.03932990460476</v>
      </c>
      <c r="J328" s="29">
        <f t="shared" si="6"/>
        <v>-468.3814342631016</v>
      </c>
      <c r="K328" s="29">
        <f t="shared" si="6"/>
        <v>200.65789564150325</v>
      </c>
      <c r="L328" s="9" t="s">
        <v>12</v>
      </c>
      <c r="M328" s="1" t="s">
        <v>59</v>
      </c>
      <c r="N328" s="1" t="s">
        <v>795</v>
      </c>
      <c r="O328" s="1" t="s">
        <v>802</v>
      </c>
    </row>
    <row r="329" spans="1:15" hidden="1" x14ac:dyDescent="0.25">
      <c r="A329" s="50" t="s">
        <v>521</v>
      </c>
      <c r="B329" s="26" t="s">
        <v>518</v>
      </c>
      <c r="C329" s="26" t="s">
        <v>518</v>
      </c>
      <c r="D329" s="27" t="s">
        <v>386</v>
      </c>
      <c r="E329" s="28">
        <v>44378</v>
      </c>
      <c r="F329" s="29">
        <v>2432.73</v>
      </c>
      <c r="G329" s="29">
        <v>-1703.1</v>
      </c>
      <c r="H329" s="29">
        <v>729.63</v>
      </c>
      <c r="I329" s="29">
        <f t="shared" si="6"/>
        <v>669.04208007449665</v>
      </c>
      <c r="J329" s="29">
        <f t="shared" si="6"/>
        <v>-468.3814342631016</v>
      </c>
      <c r="K329" s="29">
        <f t="shared" si="6"/>
        <v>200.660645811395</v>
      </c>
      <c r="L329" s="9" t="s">
        <v>12</v>
      </c>
      <c r="M329" s="1" t="s">
        <v>59</v>
      </c>
      <c r="N329" s="1" t="s">
        <v>795</v>
      </c>
      <c r="O329" s="1" t="s">
        <v>802</v>
      </c>
    </row>
    <row r="330" spans="1:15" hidden="1" x14ac:dyDescent="0.25">
      <c r="A330" s="50" t="s">
        <v>522</v>
      </c>
      <c r="B330" s="26" t="s">
        <v>518</v>
      </c>
      <c r="C330" s="26" t="s">
        <v>518</v>
      </c>
      <c r="D330" s="27" t="s">
        <v>386</v>
      </c>
      <c r="E330" s="28">
        <v>44561</v>
      </c>
      <c r="F330" s="29">
        <v>1835.39</v>
      </c>
      <c r="G330" s="29">
        <v>-1102.23</v>
      </c>
      <c r="H330" s="29">
        <v>733.16</v>
      </c>
      <c r="I330" s="29">
        <f t="shared" si="6"/>
        <v>504.76343176099704</v>
      </c>
      <c r="J330" s="29">
        <f t="shared" si="6"/>
        <v>-303.13197597781601</v>
      </c>
      <c r="K330" s="29">
        <f t="shared" si="6"/>
        <v>201.631455783181</v>
      </c>
      <c r="L330" s="9" t="s">
        <v>12</v>
      </c>
      <c r="M330" s="1" t="s">
        <v>59</v>
      </c>
      <c r="N330" s="1" t="s">
        <v>795</v>
      </c>
      <c r="O330" s="1" t="s">
        <v>802</v>
      </c>
    </row>
    <row r="331" spans="1:15" s="92" customFormat="1" hidden="1" x14ac:dyDescent="0.25">
      <c r="A331" s="86" t="s">
        <v>523</v>
      </c>
      <c r="B331" s="87" t="s">
        <v>524</v>
      </c>
      <c r="C331" s="87" t="s">
        <v>524</v>
      </c>
      <c r="D331" s="88" t="s">
        <v>524</v>
      </c>
      <c r="E331" s="89">
        <v>44378</v>
      </c>
      <c r="F331" s="90">
        <v>9150.0499999999993</v>
      </c>
      <c r="G331" s="90">
        <v>-6405</v>
      </c>
      <c r="H331" s="90">
        <v>2745.05</v>
      </c>
      <c r="I331" s="90">
        <f t="shared" si="6"/>
        <v>2516.4192017961909</v>
      </c>
      <c r="J331" s="90">
        <f t="shared" si="6"/>
        <v>-1761.4838156627125</v>
      </c>
      <c r="K331" s="90">
        <f t="shared" si="6"/>
        <v>754.93538613347846</v>
      </c>
      <c r="L331" s="91" t="s">
        <v>12</v>
      </c>
      <c r="M331" s="92" t="s">
        <v>59</v>
      </c>
      <c r="N331" s="92" t="s">
        <v>793</v>
      </c>
      <c r="O331" s="92" t="s">
        <v>892</v>
      </c>
    </row>
    <row r="332" spans="1:15" s="92" customFormat="1" hidden="1" x14ac:dyDescent="0.25">
      <c r="A332" s="86" t="s">
        <v>525</v>
      </c>
      <c r="B332" s="87" t="s">
        <v>524</v>
      </c>
      <c r="C332" s="87" t="s">
        <v>524</v>
      </c>
      <c r="D332" s="88" t="s">
        <v>524</v>
      </c>
      <c r="E332" s="89">
        <v>44378</v>
      </c>
      <c r="F332" s="90">
        <v>9150.0499999999993</v>
      </c>
      <c r="G332" s="90">
        <v>-6405</v>
      </c>
      <c r="H332" s="90">
        <v>2745.05</v>
      </c>
      <c r="I332" s="90">
        <f t="shared" si="6"/>
        <v>2516.4192017961909</v>
      </c>
      <c r="J332" s="90">
        <f t="shared" si="6"/>
        <v>-1761.4838156627125</v>
      </c>
      <c r="K332" s="90">
        <f t="shared" si="6"/>
        <v>754.93538613347846</v>
      </c>
      <c r="L332" s="91" t="s">
        <v>12</v>
      </c>
      <c r="M332" s="92" t="s">
        <v>59</v>
      </c>
      <c r="N332" s="92" t="s">
        <v>793</v>
      </c>
      <c r="O332" s="92" t="s">
        <v>892</v>
      </c>
    </row>
    <row r="333" spans="1:15" hidden="1" x14ac:dyDescent="0.25">
      <c r="A333" s="50" t="s">
        <v>526</v>
      </c>
      <c r="B333" s="26" t="s">
        <v>527</v>
      </c>
      <c r="C333" s="26" t="s">
        <v>527</v>
      </c>
      <c r="D333" s="27" t="s">
        <v>527</v>
      </c>
      <c r="E333" s="28">
        <v>44378</v>
      </c>
      <c r="F333" s="29">
        <v>2870.48</v>
      </c>
      <c r="G333" s="29">
        <v>-2009.28</v>
      </c>
      <c r="H333" s="29">
        <v>861.2</v>
      </c>
      <c r="I333" s="29">
        <f t="shared" si="6"/>
        <v>789.43076708563672</v>
      </c>
      <c r="J333" s="29">
        <f t="shared" si="6"/>
        <v>-552.58613600855188</v>
      </c>
      <c r="K333" s="29">
        <f t="shared" si="6"/>
        <v>236.84463107708481</v>
      </c>
      <c r="L333" s="9" t="s">
        <v>12</v>
      </c>
      <c r="M333" s="1" t="s">
        <v>59</v>
      </c>
      <c r="N333" s="1" t="s">
        <v>795</v>
      </c>
      <c r="O333" s="1" t="s">
        <v>802</v>
      </c>
    </row>
    <row r="334" spans="1:15" hidden="1" x14ac:dyDescent="0.25">
      <c r="A334" s="50" t="s">
        <v>528</v>
      </c>
      <c r="B334" s="26" t="s">
        <v>527</v>
      </c>
      <c r="C334" s="26" t="s">
        <v>527</v>
      </c>
      <c r="D334" s="27" t="s">
        <v>527</v>
      </c>
      <c r="E334" s="28">
        <v>44378</v>
      </c>
      <c r="F334" s="29">
        <v>2870.47</v>
      </c>
      <c r="G334" s="29">
        <v>-2009.28</v>
      </c>
      <c r="H334" s="29">
        <v>861.19</v>
      </c>
      <c r="I334" s="29">
        <f t="shared" si="6"/>
        <v>789.42801691574493</v>
      </c>
      <c r="J334" s="29">
        <f t="shared" si="6"/>
        <v>-552.58613600855188</v>
      </c>
      <c r="K334" s="29">
        <f t="shared" si="6"/>
        <v>236.84188090719306</v>
      </c>
      <c r="L334" s="9" t="s">
        <v>12</v>
      </c>
      <c r="M334" s="1" t="s">
        <v>59</v>
      </c>
      <c r="N334" s="1" t="s">
        <v>795</v>
      </c>
      <c r="O334" s="1" t="s">
        <v>802</v>
      </c>
    </row>
    <row r="335" spans="1:15" hidden="1" x14ac:dyDescent="0.25">
      <c r="A335" s="50" t="s">
        <v>529</v>
      </c>
      <c r="B335" s="26" t="s">
        <v>530</v>
      </c>
      <c r="C335" s="26" t="s">
        <v>530</v>
      </c>
      <c r="D335" s="27" t="s">
        <v>386</v>
      </c>
      <c r="E335" s="28">
        <v>44378</v>
      </c>
      <c r="F335" s="29">
        <v>15564.53</v>
      </c>
      <c r="G335" s="29">
        <v>-10895.22</v>
      </c>
      <c r="H335" s="29">
        <v>4669.3100000000004</v>
      </c>
      <c r="I335" s="29">
        <f t="shared" si="6"/>
        <v>4280.5101785162778</v>
      </c>
      <c r="J335" s="29">
        <f t="shared" si="6"/>
        <v>-2996.370600793864</v>
      </c>
      <c r="K335" s="29">
        <f t="shared" si="6"/>
        <v>1284.1395777224138</v>
      </c>
      <c r="L335" s="9" t="s">
        <v>12</v>
      </c>
      <c r="M335" s="1" t="s">
        <v>59</v>
      </c>
      <c r="N335" s="1" t="s">
        <v>795</v>
      </c>
      <c r="O335" s="1" t="s">
        <v>802</v>
      </c>
    </row>
    <row r="336" spans="1:15" hidden="1" x14ac:dyDescent="0.25">
      <c r="A336" s="50" t="s">
        <v>531</v>
      </c>
      <c r="B336" s="26" t="s">
        <v>532</v>
      </c>
      <c r="C336" s="26" t="s">
        <v>532</v>
      </c>
      <c r="D336" s="27" t="s">
        <v>532</v>
      </c>
      <c r="E336" s="28">
        <v>44378</v>
      </c>
      <c r="F336" s="29">
        <v>11080.26</v>
      </c>
      <c r="G336" s="29">
        <v>-7756.14</v>
      </c>
      <c r="H336" s="29">
        <v>3324.12</v>
      </c>
      <c r="I336" s="29">
        <f t="shared" si="6"/>
        <v>3047.2597444707148</v>
      </c>
      <c r="J336" s="29">
        <f t="shared" si="6"/>
        <v>-2133.0702704159548</v>
      </c>
      <c r="K336" s="29">
        <f t="shared" si="6"/>
        <v>914.18947405475967</v>
      </c>
      <c r="L336" s="9" t="s">
        <v>12</v>
      </c>
      <c r="M336" s="1" t="s">
        <v>59</v>
      </c>
      <c r="N336" s="1" t="s">
        <v>795</v>
      </c>
      <c r="O336" s="1" t="s">
        <v>802</v>
      </c>
    </row>
    <row r="337" spans="1:15" hidden="1" x14ac:dyDescent="0.25">
      <c r="A337" s="50" t="s">
        <v>533</v>
      </c>
      <c r="B337" s="26" t="s">
        <v>426</v>
      </c>
      <c r="C337" s="26" t="s">
        <v>426</v>
      </c>
      <c r="D337" s="27" t="s">
        <v>386</v>
      </c>
      <c r="E337" s="28">
        <v>44378</v>
      </c>
      <c r="F337" s="29">
        <v>4671.78</v>
      </c>
      <c r="G337" s="29">
        <v>-3270.12</v>
      </c>
      <c r="H337" s="29">
        <v>1401.66</v>
      </c>
      <c r="I337" s="29">
        <f t="shared" si="6"/>
        <v>1284.8188696856748</v>
      </c>
      <c r="J337" s="29">
        <f t="shared" si="6"/>
        <v>-899.33855663933639</v>
      </c>
      <c r="K337" s="29">
        <f t="shared" si="6"/>
        <v>385.48031304633844</v>
      </c>
      <c r="L337" s="9" t="s">
        <v>12</v>
      </c>
      <c r="M337" s="1" t="s">
        <v>59</v>
      </c>
      <c r="N337" s="1" t="s">
        <v>795</v>
      </c>
      <c r="O337" s="1" t="s">
        <v>802</v>
      </c>
    </row>
    <row r="338" spans="1:15" hidden="1" x14ac:dyDescent="0.25">
      <c r="A338" s="50" t="s">
        <v>534</v>
      </c>
      <c r="B338" s="26" t="s">
        <v>426</v>
      </c>
      <c r="C338" s="26" t="s">
        <v>426</v>
      </c>
      <c r="D338" s="27" t="s">
        <v>386</v>
      </c>
      <c r="E338" s="28">
        <v>44378</v>
      </c>
      <c r="F338" s="29">
        <v>4671.79</v>
      </c>
      <c r="G338" s="29">
        <v>-3270.12</v>
      </c>
      <c r="H338" s="29">
        <v>1401.67</v>
      </c>
      <c r="I338" s="29">
        <f t="shared" si="6"/>
        <v>1284.8216198555665</v>
      </c>
      <c r="J338" s="29">
        <f t="shared" si="6"/>
        <v>-899.33855663933639</v>
      </c>
      <c r="K338" s="29">
        <f t="shared" si="6"/>
        <v>385.48306321623022</v>
      </c>
      <c r="L338" s="9" t="s">
        <v>12</v>
      </c>
      <c r="M338" s="1" t="s">
        <v>59</v>
      </c>
      <c r="N338" s="1" t="s">
        <v>795</v>
      </c>
      <c r="O338" s="1" t="s">
        <v>802</v>
      </c>
    </row>
    <row r="339" spans="1:15" hidden="1" x14ac:dyDescent="0.25">
      <c r="A339" s="50" t="s">
        <v>535</v>
      </c>
      <c r="B339" s="26" t="s">
        <v>426</v>
      </c>
      <c r="C339" s="26" t="s">
        <v>426</v>
      </c>
      <c r="D339" s="27" t="s">
        <v>386</v>
      </c>
      <c r="E339" s="28">
        <v>44378</v>
      </c>
      <c r="F339" s="29">
        <v>4671.78</v>
      </c>
      <c r="G339" s="29">
        <v>-3270.12</v>
      </c>
      <c r="H339" s="29">
        <v>1401.66</v>
      </c>
      <c r="I339" s="29">
        <f t="shared" si="6"/>
        <v>1284.8188696856748</v>
      </c>
      <c r="J339" s="29">
        <f t="shared" si="6"/>
        <v>-899.33855663933639</v>
      </c>
      <c r="K339" s="29">
        <f t="shared" si="6"/>
        <v>385.48031304633844</v>
      </c>
      <c r="L339" s="9" t="s">
        <v>12</v>
      </c>
      <c r="M339" s="1" t="s">
        <v>59</v>
      </c>
      <c r="N339" s="1" t="s">
        <v>795</v>
      </c>
      <c r="O339" s="1" t="s">
        <v>802</v>
      </c>
    </row>
    <row r="340" spans="1:15" hidden="1" x14ac:dyDescent="0.25">
      <c r="A340" s="50" t="s">
        <v>536</v>
      </c>
      <c r="B340" s="26" t="s">
        <v>537</v>
      </c>
      <c r="C340" s="26" t="s">
        <v>537</v>
      </c>
      <c r="D340" s="27" t="s">
        <v>537</v>
      </c>
      <c r="E340" s="28">
        <v>44378</v>
      </c>
      <c r="F340" s="29">
        <v>4427.62</v>
      </c>
      <c r="G340" s="29">
        <v>-3099.18</v>
      </c>
      <c r="H340" s="29">
        <v>1328.44</v>
      </c>
      <c r="I340" s="29">
        <f t="shared" si="6"/>
        <v>1217.6707216088273</v>
      </c>
      <c r="J340" s="29">
        <f t="shared" si="6"/>
        <v>-852.3271525098462</v>
      </c>
      <c r="K340" s="29">
        <f t="shared" si="6"/>
        <v>365.34356909898111</v>
      </c>
      <c r="L340" s="9" t="s">
        <v>12</v>
      </c>
      <c r="M340" s="1" t="s">
        <v>59</v>
      </c>
      <c r="N340" s="1" t="s">
        <v>795</v>
      </c>
      <c r="O340" s="1" t="s">
        <v>802</v>
      </c>
    </row>
    <row r="341" spans="1:15" hidden="1" x14ac:dyDescent="0.25">
      <c r="A341" s="50" t="s">
        <v>538</v>
      </c>
      <c r="B341" s="26" t="s">
        <v>537</v>
      </c>
      <c r="C341" s="26" t="s">
        <v>537</v>
      </c>
      <c r="D341" s="27" t="s">
        <v>537</v>
      </c>
      <c r="E341" s="28">
        <v>44378</v>
      </c>
      <c r="F341" s="29">
        <v>4427.62</v>
      </c>
      <c r="G341" s="29">
        <v>-3099.18</v>
      </c>
      <c r="H341" s="29">
        <v>1328.44</v>
      </c>
      <c r="I341" s="29">
        <f t="shared" si="6"/>
        <v>1217.6707216088273</v>
      </c>
      <c r="J341" s="29">
        <f t="shared" si="6"/>
        <v>-852.3271525098462</v>
      </c>
      <c r="K341" s="29">
        <f t="shared" si="6"/>
        <v>365.34356909898111</v>
      </c>
      <c r="L341" s="9" t="s">
        <v>12</v>
      </c>
      <c r="M341" s="1" t="s">
        <v>59</v>
      </c>
      <c r="N341" s="1" t="s">
        <v>795</v>
      </c>
      <c r="O341" s="1" t="s">
        <v>802</v>
      </c>
    </row>
    <row r="342" spans="1:15" hidden="1" x14ac:dyDescent="0.25">
      <c r="A342" s="50" t="s">
        <v>539</v>
      </c>
      <c r="B342" s="26" t="s">
        <v>424</v>
      </c>
      <c r="C342" s="26" t="s">
        <v>424</v>
      </c>
      <c r="D342" s="27" t="s">
        <v>386</v>
      </c>
      <c r="E342" s="28">
        <v>44378</v>
      </c>
      <c r="F342" s="29">
        <v>7151.03</v>
      </c>
      <c r="G342" s="29">
        <v>-5005.5600000000004</v>
      </c>
      <c r="H342" s="29">
        <v>2145.4699999999998</v>
      </c>
      <c r="I342" s="29">
        <f t="shared" si="6"/>
        <v>1966.6547400965694</v>
      </c>
      <c r="J342" s="29">
        <f t="shared" si="6"/>
        <v>-1376.6140403323416</v>
      </c>
      <c r="K342" s="29">
        <f t="shared" si="6"/>
        <v>590.04069976422784</v>
      </c>
      <c r="L342" s="9" t="s">
        <v>12</v>
      </c>
      <c r="M342" s="1" t="s">
        <v>59</v>
      </c>
      <c r="N342" s="1" t="s">
        <v>795</v>
      </c>
      <c r="O342" s="1" t="s">
        <v>802</v>
      </c>
    </row>
    <row r="343" spans="1:15" hidden="1" x14ac:dyDescent="0.25">
      <c r="A343" s="50" t="s">
        <v>540</v>
      </c>
      <c r="B343" s="26" t="s">
        <v>541</v>
      </c>
      <c r="C343" s="26" t="s">
        <v>541</v>
      </c>
      <c r="D343" s="27" t="s">
        <v>541</v>
      </c>
      <c r="E343" s="28">
        <v>44378</v>
      </c>
      <c r="F343" s="29">
        <v>4124.7299999999996</v>
      </c>
      <c r="G343" s="29">
        <v>-2887.5</v>
      </c>
      <c r="H343" s="29">
        <v>1237.23</v>
      </c>
      <c r="I343" s="29">
        <f t="shared" si="6"/>
        <v>1134.3708257577612</v>
      </c>
      <c r="J343" s="29">
        <f t="shared" si="6"/>
        <v>-794.11155624138678</v>
      </c>
      <c r="K343" s="29">
        <f t="shared" si="6"/>
        <v>340.25926951637439</v>
      </c>
      <c r="L343" s="9" t="s">
        <v>12</v>
      </c>
      <c r="M343" s="1" t="s">
        <v>59</v>
      </c>
      <c r="N343" s="1" t="s">
        <v>795</v>
      </c>
      <c r="O343" s="1" t="s">
        <v>802</v>
      </c>
    </row>
    <row r="344" spans="1:15" hidden="1" x14ac:dyDescent="0.25">
      <c r="A344" s="50" t="s">
        <v>542</v>
      </c>
      <c r="B344" s="26" t="s">
        <v>424</v>
      </c>
      <c r="C344" s="26" t="s">
        <v>424</v>
      </c>
      <c r="D344" s="27" t="s">
        <v>386</v>
      </c>
      <c r="E344" s="28">
        <v>44378</v>
      </c>
      <c r="F344" s="29">
        <v>7151.03</v>
      </c>
      <c r="G344" s="29">
        <v>-5005.5600000000004</v>
      </c>
      <c r="H344" s="29">
        <v>2145.4699999999998</v>
      </c>
      <c r="I344" s="29">
        <f t="shared" si="6"/>
        <v>1966.6547400965694</v>
      </c>
      <c r="J344" s="29">
        <f t="shared" si="6"/>
        <v>-1376.6140403323416</v>
      </c>
      <c r="K344" s="29">
        <f t="shared" si="6"/>
        <v>590.04069976422784</v>
      </c>
      <c r="L344" s="9" t="s">
        <v>12</v>
      </c>
      <c r="M344" s="1" t="s">
        <v>59</v>
      </c>
      <c r="N344" s="1" t="s">
        <v>795</v>
      </c>
      <c r="O344" s="1" t="s">
        <v>802</v>
      </c>
    </row>
    <row r="345" spans="1:15" hidden="1" x14ac:dyDescent="0.25">
      <c r="A345" s="50" t="s">
        <v>543</v>
      </c>
      <c r="B345" s="26" t="s">
        <v>544</v>
      </c>
      <c r="C345" s="26" t="s">
        <v>544</v>
      </c>
      <c r="D345" s="27" t="s">
        <v>544</v>
      </c>
      <c r="E345" s="28">
        <v>44378</v>
      </c>
      <c r="F345" s="29">
        <v>3465.35</v>
      </c>
      <c r="G345" s="29">
        <v>-2425.92</v>
      </c>
      <c r="H345" s="29">
        <v>1039.43</v>
      </c>
      <c r="I345" s="29">
        <f t="shared" si="6"/>
        <v>953.03012343587523</v>
      </c>
      <c r="J345" s="29">
        <f t="shared" si="6"/>
        <v>-667.16921437821827</v>
      </c>
      <c r="K345" s="29">
        <f t="shared" si="6"/>
        <v>285.86090905765707</v>
      </c>
      <c r="L345" s="9" t="s">
        <v>12</v>
      </c>
      <c r="M345" s="1" t="s">
        <v>59</v>
      </c>
      <c r="N345" s="1" t="s">
        <v>795</v>
      </c>
      <c r="O345" s="1" t="s">
        <v>802</v>
      </c>
    </row>
    <row r="346" spans="1:15" hidden="1" x14ac:dyDescent="0.25">
      <c r="A346" s="50" t="s">
        <v>545</v>
      </c>
      <c r="B346" s="26" t="s">
        <v>546</v>
      </c>
      <c r="C346" s="26" t="s">
        <v>546</v>
      </c>
      <c r="D346" s="27" t="s">
        <v>546</v>
      </c>
      <c r="E346" s="28">
        <v>44378</v>
      </c>
      <c r="F346" s="29">
        <v>3237.62</v>
      </c>
      <c r="G346" s="29">
        <v>-2266.3200000000002</v>
      </c>
      <c r="H346" s="29">
        <v>971.3</v>
      </c>
      <c r="I346" s="29">
        <f t="shared" si="6"/>
        <v>890.40050449116495</v>
      </c>
      <c r="J346" s="29">
        <f t="shared" si="6"/>
        <v>-623.27650290596705</v>
      </c>
      <c r="K346" s="29">
        <f t="shared" si="6"/>
        <v>267.1240015851979</v>
      </c>
      <c r="L346" s="9" t="s">
        <v>12</v>
      </c>
      <c r="M346" s="1" t="s">
        <v>59</v>
      </c>
      <c r="N346" s="1" t="s">
        <v>795</v>
      </c>
      <c r="O346" s="1" t="s">
        <v>802</v>
      </c>
    </row>
    <row r="347" spans="1:15" hidden="1" x14ac:dyDescent="0.25">
      <c r="A347" s="50" t="s">
        <v>547</v>
      </c>
      <c r="B347" s="26" t="s">
        <v>548</v>
      </c>
      <c r="C347" s="26" t="s">
        <v>548</v>
      </c>
      <c r="D347" s="27" t="s">
        <v>548</v>
      </c>
      <c r="E347" s="28">
        <v>44378</v>
      </c>
      <c r="F347" s="29">
        <v>742.57</v>
      </c>
      <c r="G347" s="29">
        <v>-519.96</v>
      </c>
      <c r="H347" s="29">
        <v>222.61</v>
      </c>
      <c r="I347" s="29">
        <f t="shared" si="6"/>
        <v>204.21936565131313</v>
      </c>
      <c r="J347" s="29">
        <f t="shared" si="6"/>
        <v>-142.99783369117628</v>
      </c>
      <c r="K347" s="29">
        <f t="shared" si="6"/>
        <v>61.221531960136844</v>
      </c>
      <c r="L347" s="9" t="s">
        <v>12</v>
      </c>
      <c r="M347" s="1" t="s">
        <v>59</v>
      </c>
      <c r="N347" s="1" t="s">
        <v>795</v>
      </c>
      <c r="O347" s="1" t="s">
        <v>802</v>
      </c>
    </row>
    <row r="348" spans="1:15" hidden="1" x14ac:dyDescent="0.25">
      <c r="A348" s="50" t="s">
        <v>549</v>
      </c>
      <c r="B348" s="26" t="s">
        <v>550</v>
      </c>
      <c r="C348" s="26" t="s">
        <v>550</v>
      </c>
      <c r="D348" s="27" t="s">
        <v>550</v>
      </c>
      <c r="E348" s="28">
        <v>44378</v>
      </c>
      <c r="F348" s="29">
        <v>7425.76</v>
      </c>
      <c r="G348" s="29">
        <v>-5197.92</v>
      </c>
      <c r="H348" s="29">
        <v>2227.84</v>
      </c>
      <c r="I348" s="29">
        <f t="shared" si="6"/>
        <v>2042.2101575324816</v>
      </c>
      <c r="J348" s="29">
        <f t="shared" si="6"/>
        <v>-1429.5163083699495</v>
      </c>
      <c r="K348" s="29">
        <f t="shared" si="6"/>
        <v>612.69384916253205</v>
      </c>
      <c r="L348" s="9" t="s">
        <v>12</v>
      </c>
      <c r="M348" s="1" t="s">
        <v>59</v>
      </c>
      <c r="N348" s="1" t="s">
        <v>795</v>
      </c>
      <c r="O348" s="1" t="s">
        <v>802</v>
      </c>
    </row>
    <row r="349" spans="1:15" hidden="1" x14ac:dyDescent="0.25">
      <c r="A349" s="50" t="s">
        <v>551</v>
      </c>
      <c r="B349" s="26" t="s">
        <v>552</v>
      </c>
      <c r="C349" s="26" t="s">
        <v>552</v>
      </c>
      <c r="D349" s="27" t="s">
        <v>552</v>
      </c>
      <c r="E349" s="28">
        <v>44378</v>
      </c>
      <c r="F349" s="29">
        <v>2475.27</v>
      </c>
      <c r="G349" s="29">
        <v>-1732.5</v>
      </c>
      <c r="H349" s="29">
        <v>742.77</v>
      </c>
      <c r="I349" s="29">
        <f t="shared" si="6"/>
        <v>680.74130279398014</v>
      </c>
      <c r="J349" s="29">
        <f t="shared" si="6"/>
        <v>-476.46693374483209</v>
      </c>
      <c r="K349" s="29">
        <f t="shared" si="6"/>
        <v>204.27436904914799</v>
      </c>
      <c r="L349" s="9" t="s">
        <v>12</v>
      </c>
      <c r="M349" s="1" t="s">
        <v>59</v>
      </c>
      <c r="N349" s="1" t="s">
        <v>795</v>
      </c>
      <c r="O349" s="1" t="s">
        <v>802</v>
      </c>
    </row>
    <row r="350" spans="1:15" hidden="1" x14ac:dyDescent="0.25">
      <c r="A350" s="50" t="s">
        <v>553</v>
      </c>
      <c r="B350" s="26" t="s">
        <v>554</v>
      </c>
      <c r="C350" s="26" t="s">
        <v>554</v>
      </c>
      <c r="D350" s="27" t="s">
        <v>386</v>
      </c>
      <c r="E350" s="28">
        <v>44378</v>
      </c>
      <c r="F350" s="29">
        <v>14227.74</v>
      </c>
      <c r="G350" s="29">
        <v>-9959.4599999999991</v>
      </c>
      <c r="H350" s="29">
        <v>4268.28</v>
      </c>
      <c r="I350" s="29">
        <f t="shared" si="6"/>
        <v>3912.8702175576896</v>
      </c>
      <c r="J350" s="29">
        <f t="shared" si="6"/>
        <v>-2739.0207030039278</v>
      </c>
      <c r="K350" s="29">
        <f t="shared" si="6"/>
        <v>1173.8495145537615</v>
      </c>
      <c r="L350" s="9" t="s">
        <v>12</v>
      </c>
      <c r="M350" s="1" t="s">
        <v>59</v>
      </c>
      <c r="N350" s="1" t="s">
        <v>795</v>
      </c>
      <c r="O350" s="1" t="s">
        <v>802</v>
      </c>
    </row>
    <row r="351" spans="1:15" hidden="1" x14ac:dyDescent="0.25">
      <c r="A351" s="50" t="s">
        <v>555</v>
      </c>
      <c r="B351" s="26" t="s">
        <v>556</v>
      </c>
      <c r="C351" s="26" t="s">
        <v>556</v>
      </c>
      <c r="D351" s="27" t="s">
        <v>556</v>
      </c>
      <c r="E351" s="28">
        <v>44378</v>
      </c>
      <c r="F351" s="29">
        <v>8173.28</v>
      </c>
      <c r="G351" s="29">
        <v>-5721.24</v>
      </c>
      <c r="H351" s="29">
        <v>2452.04</v>
      </c>
      <c r="I351" s="29">
        <f t="shared" si="6"/>
        <v>2247.7908572802085</v>
      </c>
      <c r="J351" s="29">
        <f t="shared" si="6"/>
        <v>-1573.4381991447522</v>
      </c>
      <c r="K351" s="29">
        <f t="shared" si="6"/>
        <v>674.35265813545629</v>
      </c>
      <c r="L351" s="9" t="s">
        <v>12</v>
      </c>
      <c r="M351" s="1" t="s">
        <v>59</v>
      </c>
      <c r="N351" s="1" t="s">
        <v>795</v>
      </c>
      <c r="O351" s="1" t="s">
        <v>802</v>
      </c>
    </row>
    <row r="352" spans="1:15" hidden="1" x14ac:dyDescent="0.25">
      <c r="A352" s="50" t="s">
        <v>557</v>
      </c>
      <c r="B352" s="26" t="s">
        <v>558</v>
      </c>
      <c r="C352" s="26" t="s">
        <v>558</v>
      </c>
      <c r="D352" s="27" t="s">
        <v>558</v>
      </c>
      <c r="E352" s="28">
        <v>44378</v>
      </c>
      <c r="F352" s="29">
        <v>7069.31</v>
      </c>
      <c r="G352" s="29">
        <v>-4948.4399999999996</v>
      </c>
      <c r="H352" s="29">
        <v>2120.87</v>
      </c>
      <c r="I352" s="29">
        <f t="shared" si="6"/>
        <v>1944.1803517412288</v>
      </c>
      <c r="J352" s="29">
        <f t="shared" si="6"/>
        <v>-1360.9050699106936</v>
      </c>
      <c r="K352" s="29">
        <f t="shared" si="6"/>
        <v>583.27528183053505</v>
      </c>
      <c r="L352" s="9" t="s">
        <v>12</v>
      </c>
      <c r="M352" s="1" t="s">
        <v>59</v>
      </c>
      <c r="N352" s="1" t="s">
        <v>795</v>
      </c>
      <c r="O352" s="1" t="s">
        <v>802</v>
      </c>
    </row>
    <row r="353" spans="1:31" hidden="1" x14ac:dyDescent="0.25">
      <c r="A353" s="50" t="s">
        <v>559</v>
      </c>
      <c r="B353" s="26" t="s">
        <v>560</v>
      </c>
      <c r="C353" s="26" t="s">
        <v>560</v>
      </c>
      <c r="D353" s="27" t="s">
        <v>560</v>
      </c>
      <c r="E353" s="28">
        <v>44378</v>
      </c>
      <c r="F353" s="29">
        <v>10811.88</v>
      </c>
      <c r="G353" s="29">
        <v>-7568.4</v>
      </c>
      <c r="H353" s="29">
        <v>3243.48</v>
      </c>
      <c r="I353" s="29">
        <f t="shared" si="6"/>
        <v>2973.4506849160603</v>
      </c>
      <c r="J353" s="29">
        <f t="shared" si="6"/>
        <v>-2081.4385808683332</v>
      </c>
      <c r="K353" s="29">
        <f t="shared" si="6"/>
        <v>892.01210404772758</v>
      </c>
      <c r="L353" s="9" t="s">
        <v>12</v>
      </c>
      <c r="M353" s="1" t="s">
        <v>59</v>
      </c>
      <c r="N353" s="1" t="s">
        <v>795</v>
      </c>
      <c r="O353" s="1" t="s">
        <v>802</v>
      </c>
    </row>
    <row r="354" spans="1:31" hidden="1" x14ac:dyDescent="0.25">
      <c r="A354" s="50" t="s">
        <v>561</v>
      </c>
      <c r="B354" s="26" t="s">
        <v>562</v>
      </c>
      <c r="C354" s="26" t="s">
        <v>562</v>
      </c>
      <c r="D354" s="27" t="s">
        <v>562</v>
      </c>
      <c r="E354" s="28">
        <v>44378</v>
      </c>
      <c r="F354" s="29">
        <v>8019.79</v>
      </c>
      <c r="G354" s="29">
        <v>-5613.72</v>
      </c>
      <c r="H354" s="29">
        <v>2406.0700000000002</v>
      </c>
      <c r="I354" s="29">
        <f t="shared" si="6"/>
        <v>2205.5784996118136</v>
      </c>
      <c r="J354" s="29">
        <f t="shared" si="6"/>
        <v>-1543.8683724687094</v>
      </c>
      <c r="K354" s="29">
        <f t="shared" si="6"/>
        <v>661.71012714310427</v>
      </c>
      <c r="L354" s="9" t="s">
        <v>12</v>
      </c>
      <c r="M354" s="1" t="s">
        <v>59</v>
      </c>
      <c r="N354" s="1" t="s">
        <v>795</v>
      </c>
      <c r="O354" s="1" t="s">
        <v>802</v>
      </c>
    </row>
    <row r="355" spans="1:31" hidden="1" x14ac:dyDescent="0.25">
      <c r="A355" s="50" t="s">
        <v>563</v>
      </c>
      <c r="B355" s="26" t="s">
        <v>564</v>
      </c>
      <c r="C355" s="26" t="s">
        <v>564</v>
      </c>
      <c r="D355" s="27" t="s">
        <v>386</v>
      </c>
      <c r="E355" s="28">
        <v>44378</v>
      </c>
      <c r="F355" s="29">
        <v>7871.29</v>
      </c>
      <c r="G355" s="29">
        <v>-5509.98</v>
      </c>
      <c r="H355" s="29">
        <v>2361.31</v>
      </c>
      <c r="I355" s="29">
        <f t="shared" si="6"/>
        <v>2164.7384767193994</v>
      </c>
      <c r="J355" s="29">
        <f t="shared" si="6"/>
        <v>-1515.3381100117458</v>
      </c>
      <c r="K355" s="29">
        <f t="shared" si="6"/>
        <v>649.40036670765335</v>
      </c>
      <c r="L355" s="9" t="s">
        <v>12</v>
      </c>
      <c r="M355" s="1" t="s">
        <v>59</v>
      </c>
      <c r="N355" s="1" t="s">
        <v>795</v>
      </c>
      <c r="O355" s="1" t="s">
        <v>802</v>
      </c>
    </row>
    <row r="356" spans="1:31" s="25" customFormat="1" x14ac:dyDescent="0.25">
      <c r="A356" s="53" t="s">
        <v>565</v>
      </c>
      <c r="B356" s="20" t="s">
        <v>566</v>
      </c>
      <c r="C356" s="20" t="s">
        <v>566</v>
      </c>
      <c r="D356" s="21" t="s">
        <v>566</v>
      </c>
      <c r="E356" s="22">
        <v>44378</v>
      </c>
      <c r="F356" s="23">
        <v>249.95</v>
      </c>
      <c r="G356" s="23">
        <v>-248.95</v>
      </c>
      <c r="H356" s="23">
        <v>1</v>
      </c>
      <c r="I356" s="23">
        <f t="shared" si="6"/>
        <v>68.740496444167832</v>
      </c>
      <c r="J356" s="23">
        <f t="shared" si="6"/>
        <v>-68.465479454993329</v>
      </c>
      <c r="K356" s="23">
        <f t="shared" si="6"/>
        <v>0.27501698917450623</v>
      </c>
      <c r="L356" s="24" t="s">
        <v>12</v>
      </c>
      <c r="M356" s="25" t="s">
        <v>59</v>
      </c>
      <c r="N356" s="25" t="s">
        <v>794</v>
      </c>
      <c r="O356" s="25" t="s">
        <v>893</v>
      </c>
      <c r="P356" s="8">
        <v>1</v>
      </c>
    </row>
    <row r="357" spans="1:31" hidden="1" x14ac:dyDescent="0.25">
      <c r="A357" s="50" t="s">
        <v>567</v>
      </c>
      <c r="B357" s="26" t="s">
        <v>568</v>
      </c>
      <c r="C357" s="26" t="s">
        <v>568</v>
      </c>
      <c r="D357" s="27" t="s">
        <v>568</v>
      </c>
      <c r="E357" s="28">
        <v>44378</v>
      </c>
      <c r="F357" s="29">
        <v>1918.94</v>
      </c>
      <c r="G357" s="29">
        <v>-1343.16</v>
      </c>
      <c r="H357" s="29">
        <v>575.78</v>
      </c>
      <c r="I357" s="29">
        <f t="shared" si="6"/>
        <v>527.74110120652699</v>
      </c>
      <c r="J357" s="29">
        <f t="shared" si="6"/>
        <v>-369.39181917962986</v>
      </c>
      <c r="K357" s="29">
        <f t="shared" si="6"/>
        <v>158.34928202689721</v>
      </c>
      <c r="L357" s="9" t="s">
        <v>12</v>
      </c>
      <c r="M357" s="1" t="s">
        <v>59</v>
      </c>
      <c r="N357" s="1" t="s">
        <v>800</v>
      </c>
      <c r="O357" s="1" t="s">
        <v>802</v>
      </c>
    </row>
    <row r="358" spans="1:31" hidden="1" x14ac:dyDescent="0.25">
      <c r="A358" s="50" t="s">
        <v>569</v>
      </c>
      <c r="B358" s="26" t="s">
        <v>568</v>
      </c>
      <c r="C358" s="26" t="s">
        <v>568</v>
      </c>
      <c r="D358" s="27" t="s">
        <v>568</v>
      </c>
      <c r="E358" s="28">
        <v>44378</v>
      </c>
      <c r="F358" s="29">
        <v>1918.93</v>
      </c>
      <c r="G358" s="29">
        <v>-1343.16</v>
      </c>
      <c r="H358" s="29">
        <v>575.77</v>
      </c>
      <c r="I358" s="29">
        <f t="shared" si="6"/>
        <v>527.73835103663532</v>
      </c>
      <c r="J358" s="29">
        <f t="shared" si="6"/>
        <v>-369.39181917962986</v>
      </c>
      <c r="K358" s="29">
        <f t="shared" si="6"/>
        <v>158.34653185700546</v>
      </c>
      <c r="L358" s="9" t="s">
        <v>12</v>
      </c>
      <c r="M358" s="1" t="s">
        <v>59</v>
      </c>
      <c r="N358" s="1" t="s">
        <v>800</v>
      </c>
      <c r="O358" s="1" t="s">
        <v>802</v>
      </c>
    </row>
    <row r="359" spans="1:31" hidden="1" x14ac:dyDescent="0.25">
      <c r="A359" s="50" t="s">
        <v>570</v>
      </c>
      <c r="B359" s="26" t="s">
        <v>571</v>
      </c>
      <c r="C359" s="26" t="s">
        <v>571</v>
      </c>
      <c r="D359" s="27" t="s">
        <v>571</v>
      </c>
      <c r="E359" s="28">
        <v>44378</v>
      </c>
      <c r="F359" s="29">
        <v>1994.64</v>
      </c>
      <c r="G359" s="29">
        <v>-1396.08</v>
      </c>
      <c r="H359" s="29">
        <v>598.55999999999995</v>
      </c>
      <c r="I359" s="29">
        <f t="shared" si="6"/>
        <v>548.55988728703721</v>
      </c>
      <c r="J359" s="29">
        <f t="shared" si="6"/>
        <v>-383.94571824674466</v>
      </c>
      <c r="K359" s="29">
        <f t="shared" si="6"/>
        <v>164.61416904029244</v>
      </c>
      <c r="L359" s="9" t="s">
        <v>12</v>
      </c>
      <c r="M359" s="1" t="s">
        <v>59</v>
      </c>
      <c r="N359" s="1" t="s">
        <v>800</v>
      </c>
      <c r="O359" s="1" t="s">
        <v>802</v>
      </c>
    </row>
    <row r="360" spans="1:31" hidden="1" x14ac:dyDescent="0.25">
      <c r="A360" s="50" t="s">
        <v>572</v>
      </c>
      <c r="B360" s="26" t="s">
        <v>571</v>
      </c>
      <c r="C360" s="26" t="s">
        <v>571</v>
      </c>
      <c r="D360" s="27" t="s">
        <v>571</v>
      </c>
      <c r="E360" s="28">
        <v>44378</v>
      </c>
      <c r="F360" s="29">
        <v>1994.64</v>
      </c>
      <c r="G360" s="29">
        <v>-1396.08</v>
      </c>
      <c r="H360" s="29">
        <v>598.55999999999995</v>
      </c>
      <c r="I360" s="29">
        <f t="shared" si="6"/>
        <v>548.55988728703721</v>
      </c>
      <c r="J360" s="29">
        <f t="shared" si="6"/>
        <v>-383.94571824674466</v>
      </c>
      <c r="K360" s="29">
        <f t="shared" si="6"/>
        <v>164.61416904029244</v>
      </c>
      <c r="L360" s="9" t="s">
        <v>12</v>
      </c>
      <c r="M360" s="1" t="s">
        <v>59</v>
      </c>
      <c r="N360" s="1" t="s">
        <v>800</v>
      </c>
      <c r="O360" s="1" t="s">
        <v>802</v>
      </c>
    </row>
    <row r="361" spans="1:31" s="41" customFormat="1" x14ac:dyDescent="0.25">
      <c r="A361" s="51" t="s">
        <v>573</v>
      </c>
      <c r="B361" s="36" t="s">
        <v>574</v>
      </c>
      <c r="C361" s="36" t="s">
        <v>574</v>
      </c>
      <c r="D361" s="37" t="s">
        <v>574</v>
      </c>
      <c r="E361" s="38">
        <v>44646</v>
      </c>
      <c r="F361" s="39">
        <v>17500</v>
      </c>
      <c r="G361" s="39">
        <v>-9681.56</v>
      </c>
      <c r="H361" s="39">
        <v>7818.44</v>
      </c>
      <c r="I361" s="39">
        <f t="shared" si="6"/>
        <v>4812.7973105538595</v>
      </c>
      <c r="J361" s="39">
        <f t="shared" si="6"/>
        <v>-2662.5934817123325</v>
      </c>
      <c r="K361" s="39">
        <f t="shared" si="6"/>
        <v>2150.2038288415265</v>
      </c>
      <c r="L361" s="40" t="s">
        <v>12</v>
      </c>
      <c r="M361" s="41" t="s">
        <v>59</v>
      </c>
      <c r="N361" s="41" t="s">
        <v>790</v>
      </c>
      <c r="P361" s="8">
        <v>7818.44</v>
      </c>
    </row>
    <row r="362" spans="1:31" s="41" customFormat="1" x14ac:dyDescent="0.25">
      <c r="A362" s="51" t="s">
        <v>575</v>
      </c>
      <c r="B362" s="36" t="s">
        <v>574</v>
      </c>
      <c r="C362" s="36" t="s">
        <v>574</v>
      </c>
      <c r="D362" s="37" t="s">
        <v>574</v>
      </c>
      <c r="E362" s="38">
        <v>44646</v>
      </c>
      <c r="F362" s="39">
        <v>17500</v>
      </c>
      <c r="G362" s="39">
        <v>-9681.56</v>
      </c>
      <c r="H362" s="39">
        <v>7818.44</v>
      </c>
      <c r="I362" s="39">
        <f t="shared" si="6"/>
        <v>4812.7973105538595</v>
      </c>
      <c r="J362" s="39">
        <f t="shared" si="6"/>
        <v>-2662.5934817123325</v>
      </c>
      <c r="K362" s="39">
        <f t="shared" si="6"/>
        <v>2150.2038288415265</v>
      </c>
      <c r="L362" s="40"/>
      <c r="M362" s="41" t="s">
        <v>59</v>
      </c>
      <c r="N362" s="41" t="s">
        <v>790</v>
      </c>
      <c r="P362" s="8">
        <v>7818.44</v>
      </c>
    </row>
    <row r="363" spans="1:31" hidden="1" x14ac:dyDescent="0.25">
      <c r="A363" s="4" t="s">
        <v>576</v>
      </c>
      <c r="B363" s="4" t="s">
        <v>577</v>
      </c>
      <c r="C363" s="4" t="s">
        <v>577</v>
      </c>
      <c r="D363" s="5" t="s">
        <v>577</v>
      </c>
      <c r="E363" s="10">
        <v>42739</v>
      </c>
      <c r="F363" s="8">
        <v>4200</v>
      </c>
      <c r="G363" s="8">
        <v>-4199</v>
      </c>
      <c r="H363" s="8">
        <v>1</v>
      </c>
      <c r="I363" s="8">
        <f t="shared" si="6"/>
        <v>1155.0713545329263</v>
      </c>
      <c r="J363" s="8">
        <f t="shared" si="6"/>
        <v>-1154.7963375437519</v>
      </c>
      <c r="K363" s="8">
        <f t="shared" si="6"/>
        <v>0.27501698917450623</v>
      </c>
      <c r="L363" s="9" t="s">
        <v>12</v>
      </c>
      <c r="M363" s="1" t="s">
        <v>578</v>
      </c>
    </row>
    <row r="364" spans="1:31" hidden="1" x14ac:dyDescent="0.25">
      <c r="A364" s="4" t="s">
        <v>579</v>
      </c>
      <c r="B364" s="4" t="s">
        <v>580</v>
      </c>
      <c r="C364" s="4" t="s">
        <v>580</v>
      </c>
      <c r="D364" s="5" t="s">
        <v>580</v>
      </c>
      <c r="E364" s="10">
        <v>42614</v>
      </c>
      <c r="F364" s="8">
        <v>7500</v>
      </c>
      <c r="G364" s="8">
        <v>-7499</v>
      </c>
      <c r="H364" s="8">
        <v>1</v>
      </c>
      <c r="I364" s="8">
        <f t="shared" si="6"/>
        <v>2062.6274188087968</v>
      </c>
      <c r="J364" s="8">
        <f t="shared" si="6"/>
        <v>-2062.3524018196226</v>
      </c>
      <c r="K364" s="8">
        <f t="shared" si="6"/>
        <v>0.27501698917450623</v>
      </c>
      <c r="L364" s="9" t="s">
        <v>12</v>
      </c>
      <c r="M364" s="1" t="s">
        <v>581</v>
      </c>
    </row>
    <row r="365" spans="1:31" hidden="1" x14ac:dyDescent="0.25">
      <c r="A365" s="2" t="s">
        <v>582</v>
      </c>
      <c r="B365" s="2"/>
      <c r="C365" s="2"/>
      <c r="D365" s="2" t="s">
        <v>386</v>
      </c>
      <c r="E365" s="2" t="s">
        <v>582</v>
      </c>
      <c r="F365" s="11">
        <f t="shared" ref="F365:H365" si="7">SUM(F5:F364)</f>
        <v>4152239.1199999941</v>
      </c>
      <c r="G365" s="11">
        <f t="shared" si="7"/>
        <v>-3642955.7200000086</v>
      </c>
      <c r="H365" s="11">
        <f t="shared" si="7"/>
        <v>509283.39999999997</v>
      </c>
      <c r="I365" s="11">
        <f t="shared" ref="I365:J365" si="8">SUM(I5:I364)</f>
        <v>1141936.3011150011</v>
      </c>
      <c r="J365" s="11">
        <f t="shared" si="8"/>
        <v>-1001874.7138104453</v>
      </c>
      <c r="K365" s="11">
        <f>SUM(K6:K364)</f>
        <v>140061.3122875666</v>
      </c>
      <c r="L365" s="9"/>
    </row>
    <row r="367" spans="1:31" s="59" customFormat="1" x14ac:dyDescent="0.25">
      <c r="A367" s="81" t="s">
        <v>891</v>
      </c>
      <c r="B367" s="82"/>
      <c r="C367" s="82"/>
      <c r="D367" s="82"/>
      <c r="E367" s="64"/>
      <c r="F367" s="64"/>
      <c r="G367" s="64"/>
      <c r="H367" s="64"/>
      <c r="I367" s="64"/>
      <c r="J367" s="64"/>
      <c r="K367" s="64"/>
      <c r="L367" s="64"/>
      <c r="M367" s="82"/>
      <c r="N367" s="82"/>
      <c r="O367" s="82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</row>
    <row r="368" spans="1:31" s="57" customFormat="1" x14ac:dyDescent="0.25">
      <c r="A368" s="62" t="s">
        <v>807</v>
      </c>
      <c r="B368" s="63"/>
      <c r="C368" s="63"/>
      <c r="D368" s="63"/>
      <c r="E368" s="64"/>
      <c r="F368" s="64"/>
      <c r="G368" s="64"/>
      <c r="H368" s="64"/>
      <c r="I368" s="64"/>
      <c r="J368" s="64"/>
      <c r="K368" s="64"/>
      <c r="L368" s="64"/>
      <c r="M368" s="63"/>
      <c r="N368" s="63"/>
      <c r="O368" s="63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</row>
    <row r="369" spans="1:31" s="44" customFormat="1" x14ac:dyDescent="0.25">
      <c r="A369" s="44" t="s">
        <v>789</v>
      </c>
      <c r="B369" s="44" t="s">
        <v>808</v>
      </c>
      <c r="C369" s="44" t="s">
        <v>809</v>
      </c>
      <c r="D369" s="44" t="s">
        <v>810</v>
      </c>
      <c r="E369" s="1"/>
      <c r="F369" s="1"/>
      <c r="G369" s="1"/>
      <c r="H369" s="1"/>
      <c r="I369" s="1"/>
      <c r="J369" s="1"/>
      <c r="K369" s="1"/>
      <c r="L369" s="1"/>
      <c r="N369" s="44" t="s">
        <v>812</v>
      </c>
      <c r="O369" s="44" t="s">
        <v>811</v>
      </c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</row>
    <row r="370" spans="1:31" ht="15.75" x14ac:dyDescent="0.25">
      <c r="A370" s="54">
        <v>1</v>
      </c>
      <c r="B370" s="55" t="s">
        <v>820</v>
      </c>
      <c r="C370" s="47" t="s">
        <v>813</v>
      </c>
      <c r="D370" s="45">
        <v>1</v>
      </c>
      <c r="M370" s="44"/>
      <c r="N370" s="44" t="s">
        <v>800</v>
      </c>
      <c r="O370" s="44" t="s">
        <v>802</v>
      </c>
    </row>
    <row r="371" spans="1:31" ht="15.75" x14ac:dyDescent="0.25">
      <c r="A371" s="54">
        <v>2</v>
      </c>
      <c r="B371" s="55" t="s">
        <v>820</v>
      </c>
      <c r="C371" s="47" t="s">
        <v>814</v>
      </c>
      <c r="D371" s="45">
        <v>1</v>
      </c>
      <c r="M371" s="44"/>
      <c r="N371" s="44" t="s">
        <v>800</v>
      </c>
      <c r="O371" s="44" t="s">
        <v>802</v>
      </c>
    </row>
    <row r="372" spans="1:31" ht="15.75" x14ac:dyDescent="0.25">
      <c r="A372" s="54">
        <v>3</v>
      </c>
      <c r="B372" s="55" t="s">
        <v>820</v>
      </c>
      <c r="C372" s="47" t="s">
        <v>815</v>
      </c>
      <c r="D372" s="45">
        <v>1</v>
      </c>
      <c r="M372" s="44"/>
      <c r="N372" s="44" t="s">
        <v>800</v>
      </c>
      <c r="O372" s="44" t="s">
        <v>802</v>
      </c>
    </row>
    <row r="373" spans="1:31" ht="15.75" x14ac:dyDescent="0.25">
      <c r="A373" s="54">
        <v>4</v>
      </c>
      <c r="B373" s="55" t="s">
        <v>820</v>
      </c>
      <c r="C373" s="47" t="s">
        <v>816</v>
      </c>
      <c r="D373" s="45">
        <v>1</v>
      </c>
      <c r="M373" s="44"/>
      <c r="N373" s="44" t="s">
        <v>800</v>
      </c>
      <c r="O373" s="44" t="s">
        <v>802</v>
      </c>
    </row>
    <row r="374" spans="1:31" ht="15.75" x14ac:dyDescent="0.25">
      <c r="A374" s="54">
        <v>5</v>
      </c>
      <c r="B374" s="55" t="s">
        <v>820</v>
      </c>
      <c r="C374" s="47" t="s">
        <v>817</v>
      </c>
      <c r="D374" s="45">
        <v>1</v>
      </c>
      <c r="M374" s="44"/>
      <c r="N374" s="44" t="s">
        <v>800</v>
      </c>
      <c r="O374" s="44" t="s">
        <v>802</v>
      </c>
    </row>
    <row r="375" spans="1:31" ht="15.75" x14ac:dyDescent="0.25">
      <c r="A375" s="54">
        <v>6</v>
      </c>
      <c r="B375" s="55" t="s">
        <v>820</v>
      </c>
      <c r="C375" s="47" t="s">
        <v>817</v>
      </c>
      <c r="D375" s="45">
        <v>1</v>
      </c>
      <c r="M375" s="44"/>
      <c r="N375" s="44" t="s">
        <v>800</v>
      </c>
      <c r="O375" s="44" t="s">
        <v>802</v>
      </c>
    </row>
    <row r="376" spans="1:31" ht="15.75" x14ac:dyDescent="0.25">
      <c r="A376" s="54">
        <v>7</v>
      </c>
      <c r="B376" s="55" t="s">
        <v>820</v>
      </c>
      <c r="C376" s="47" t="s">
        <v>818</v>
      </c>
      <c r="D376" s="45">
        <v>1</v>
      </c>
      <c r="M376" s="44"/>
      <c r="N376" s="44" t="s">
        <v>800</v>
      </c>
      <c r="O376" s="44" t="s">
        <v>802</v>
      </c>
    </row>
    <row r="377" spans="1:31" ht="15.75" x14ac:dyDescent="0.25">
      <c r="A377" s="54">
        <v>8</v>
      </c>
      <c r="B377" s="55" t="s">
        <v>820</v>
      </c>
      <c r="C377" s="47" t="s">
        <v>819</v>
      </c>
      <c r="D377" s="45">
        <v>1</v>
      </c>
      <c r="M377" s="44"/>
      <c r="N377" s="44" t="s">
        <v>800</v>
      </c>
      <c r="O377" s="44" t="s">
        <v>802</v>
      </c>
    </row>
    <row r="378" spans="1:31" x14ac:dyDescent="0.25">
      <c r="A378" s="54">
        <v>9</v>
      </c>
      <c r="B378" s="55" t="s">
        <v>820</v>
      </c>
      <c r="C378" s="47" t="s">
        <v>821</v>
      </c>
      <c r="D378" s="44">
        <v>1</v>
      </c>
      <c r="M378" s="44"/>
      <c r="N378" s="44" t="s">
        <v>800</v>
      </c>
      <c r="O378" s="44" t="s">
        <v>802</v>
      </c>
    </row>
    <row r="379" spans="1:31" s="67" customFormat="1" x14ac:dyDescent="0.25">
      <c r="A379" s="65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</row>
    <row r="380" spans="1:31" s="56" customFormat="1" x14ac:dyDescent="0.25">
      <c r="A380" s="62" t="s">
        <v>822</v>
      </c>
      <c r="B380" s="62"/>
      <c r="C380" s="62"/>
      <c r="D380" s="62"/>
      <c r="E380" s="66"/>
      <c r="F380" s="66"/>
      <c r="G380" s="66"/>
      <c r="H380" s="66"/>
      <c r="I380" s="66"/>
      <c r="J380" s="66"/>
      <c r="K380" s="66"/>
      <c r="L380" s="66"/>
      <c r="M380" s="62"/>
      <c r="N380" s="62"/>
      <c r="O380" s="62"/>
    </row>
    <row r="381" spans="1:31" x14ac:dyDescent="0.25">
      <c r="A381" s="44">
        <v>1</v>
      </c>
      <c r="B381" s="55" t="s">
        <v>820</v>
      </c>
      <c r="C381" s="47" t="s">
        <v>823</v>
      </c>
      <c r="D381" s="44">
        <v>1</v>
      </c>
      <c r="M381" s="44"/>
      <c r="N381" s="44" t="s">
        <v>795</v>
      </c>
      <c r="O381" s="44" t="s">
        <v>802</v>
      </c>
    </row>
    <row r="382" spans="1:31" x14ac:dyDescent="0.25">
      <c r="A382" s="44">
        <v>2</v>
      </c>
      <c r="B382" s="55" t="s">
        <v>820</v>
      </c>
      <c r="C382" s="47" t="s">
        <v>824</v>
      </c>
      <c r="D382" s="44">
        <v>1</v>
      </c>
      <c r="M382" s="44"/>
      <c r="N382" s="44" t="s">
        <v>795</v>
      </c>
      <c r="O382" s="44" t="s">
        <v>802</v>
      </c>
    </row>
    <row r="383" spans="1:31" x14ac:dyDescent="0.25">
      <c r="A383" s="44">
        <v>3</v>
      </c>
      <c r="B383" s="55" t="s">
        <v>820</v>
      </c>
      <c r="C383" s="47" t="s">
        <v>818</v>
      </c>
      <c r="D383" s="44">
        <v>1</v>
      </c>
      <c r="M383" s="44"/>
      <c r="N383" s="44" t="s">
        <v>795</v>
      </c>
      <c r="O383" s="44" t="s">
        <v>802</v>
      </c>
    </row>
    <row r="384" spans="1:31" x14ac:dyDescent="0.25">
      <c r="A384" s="44">
        <v>4</v>
      </c>
      <c r="B384" s="55" t="s">
        <v>820</v>
      </c>
      <c r="C384" s="47" t="s">
        <v>825</v>
      </c>
      <c r="D384" s="44">
        <v>1</v>
      </c>
      <c r="M384" s="44"/>
      <c r="N384" s="44" t="s">
        <v>795</v>
      </c>
      <c r="O384" s="44" t="s">
        <v>802</v>
      </c>
    </row>
    <row r="385" spans="1:15" x14ac:dyDescent="0.25">
      <c r="A385" s="44">
        <v>5</v>
      </c>
      <c r="B385" s="55" t="s">
        <v>820</v>
      </c>
      <c r="C385" s="47" t="s">
        <v>819</v>
      </c>
      <c r="D385" s="44">
        <v>1</v>
      </c>
      <c r="M385" s="44"/>
      <c r="N385" s="44" t="s">
        <v>795</v>
      </c>
      <c r="O385" s="44" t="s">
        <v>802</v>
      </c>
    </row>
    <row r="386" spans="1:15" x14ac:dyDescent="0.25">
      <c r="A386" s="44">
        <v>6</v>
      </c>
      <c r="B386" s="55" t="s">
        <v>820</v>
      </c>
      <c r="C386" s="47" t="s">
        <v>826</v>
      </c>
      <c r="D386" s="44">
        <v>1</v>
      </c>
      <c r="M386" s="44"/>
      <c r="N386" s="44" t="s">
        <v>795</v>
      </c>
      <c r="O386" s="44" t="s">
        <v>802</v>
      </c>
    </row>
    <row r="387" spans="1:15" x14ac:dyDescent="0.25">
      <c r="A387" s="44">
        <v>7</v>
      </c>
      <c r="B387" s="55" t="s">
        <v>820</v>
      </c>
      <c r="C387" s="47" t="s">
        <v>827</v>
      </c>
      <c r="D387" s="44">
        <v>1</v>
      </c>
      <c r="M387" s="44"/>
      <c r="N387" s="44" t="s">
        <v>795</v>
      </c>
      <c r="O387" s="44" t="s">
        <v>802</v>
      </c>
    </row>
    <row r="388" spans="1:15" x14ac:dyDescent="0.25">
      <c r="A388" s="44">
        <v>8</v>
      </c>
      <c r="B388" s="55" t="s">
        <v>820</v>
      </c>
      <c r="C388" s="47" t="s">
        <v>828</v>
      </c>
      <c r="D388" s="44">
        <v>1</v>
      </c>
      <c r="M388" s="44"/>
      <c r="N388" s="44" t="s">
        <v>795</v>
      </c>
      <c r="O388" s="44" t="s">
        <v>802</v>
      </c>
    </row>
    <row r="389" spans="1:15" x14ac:dyDescent="0.25">
      <c r="A389" s="44">
        <v>9</v>
      </c>
      <c r="B389" s="55" t="s">
        <v>820</v>
      </c>
      <c r="C389" s="47" t="s">
        <v>829</v>
      </c>
      <c r="D389" s="44">
        <v>1</v>
      </c>
      <c r="M389" s="44"/>
      <c r="N389" s="44" t="s">
        <v>795</v>
      </c>
      <c r="O389" s="44" t="s">
        <v>802</v>
      </c>
    </row>
    <row r="390" spans="1:15" x14ac:dyDescent="0.25">
      <c r="A390" s="44">
        <v>10</v>
      </c>
      <c r="B390" s="55" t="s">
        <v>820</v>
      </c>
      <c r="C390" s="47" t="s">
        <v>830</v>
      </c>
      <c r="D390" s="44">
        <v>1</v>
      </c>
      <c r="M390" s="44"/>
      <c r="N390" s="44" t="s">
        <v>795</v>
      </c>
      <c r="O390" s="44" t="s">
        <v>802</v>
      </c>
    </row>
    <row r="391" spans="1:15" x14ac:dyDescent="0.25">
      <c r="A391" s="44">
        <v>11</v>
      </c>
      <c r="B391" s="55" t="s">
        <v>820</v>
      </c>
      <c r="C391" s="47" t="s">
        <v>831</v>
      </c>
      <c r="D391" s="44">
        <v>1</v>
      </c>
      <c r="M391" s="44"/>
      <c r="N391" s="44" t="s">
        <v>795</v>
      </c>
      <c r="O391" s="44" t="s">
        <v>802</v>
      </c>
    </row>
    <row r="392" spans="1:15" x14ac:dyDescent="0.25">
      <c r="A392" s="44">
        <v>12</v>
      </c>
      <c r="B392" s="55" t="s">
        <v>820</v>
      </c>
      <c r="C392" s="47" t="s">
        <v>832</v>
      </c>
      <c r="D392" s="44">
        <v>1</v>
      </c>
      <c r="M392" s="44"/>
      <c r="N392" s="44" t="s">
        <v>795</v>
      </c>
      <c r="O392" s="44" t="s">
        <v>802</v>
      </c>
    </row>
    <row r="393" spans="1:15" x14ac:dyDescent="0.25">
      <c r="A393" s="44">
        <v>13</v>
      </c>
      <c r="B393" s="55" t="s">
        <v>820</v>
      </c>
      <c r="C393" s="47" t="s">
        <v>833</v>
      </c>
      <c r="D393" s="44">
        <v>1</v>
      </c>
      <c r="M393" s="44"/>
      <c r="N393" s="44" t="s">
        <v>795</v>
      </c>
      <c r="O393" s="44" t="s">
        <v>802</v>
      </c>
    </row>
    <row r="394" spans="1:15" x14ac:dyDescent="0.25">
      <c r="A394" s="44">
        <v>14</v>
      </c>
      <c r="B394" s="55" t="s">
        <v>820</v>
      </c>
      <c r="C394" s="47" t="s">
        <v>834</v>
      </c>
      <c r="D394" s="44">
        <v>1</v>
      </c>
      <c r="M394" s="44"/>
      <c r="N394" s="44" t="s">
        <v>795</v>
      </c>
      <c r="O394" s="44" t="s">
        <v>802</v>
      </c>
    </row>
    <row r="395" spans="1:15" x14ac:dyDescent="0.25">
      <c r="A395" s="44">
        <v>15</v>
      </c>
      <c r="B395" s="55" t="s">
        <v>820</v>
      </c>
      <c r="C395" s="47" t="s">
        <v>835</v>
      </c>
      <c r="D395" s="44">
        <v>1</v>
      </c>
      <c r="M395" s="44"/>
      <c r="N395" s="44" t="s">
        <v>795</v>
      </c>
      <c r="O395" s="44" t="s">
        <v>802</v>
      </c>
    </row>
    <row r="396" spans="1:15" x14ac:dyDescent="0.25">
      <c r="A396" s="44"/>
      <c r="B396" s="9"/>
      <c r="C396" s="44"/>
      <c r="D396" s="44"/>
      <c r="M396" s="44"/>
      <c r="N396" s="44"/>
      <c r="O396" s="44"/>
    </row>
    <row r="397" spans="1:15" x14ac:dyDescent="0.25">
      <c r="A397" s="68" t="s">
        <v>836</v>
      </c>
      <c r="B397" s="69"/>
      <c r="C397" s="69"/>
      <c r="D397" s="69"/>
      <c r="E397" s="66"/>
      <c r="F397" s="66"/>
      <c r="G397" s="66"/>
      <c r="H397" s="66"/>
      <c r="I397" s="66"/>
      <c r="J397" s="66"/>
      <c r="K397" s="66"/>
      <c r="L397" s="66"/>
      <c r="M397" s="69"/>
      <c r="N397" s="69"/>
      <c r="O397" s="70"/>
    </row>
    <row r="398" spans="1:15" x14ac:dyDescent="0.25">
      <c r="A398" s="44">
        <v>1</v>
      </c>
      <c r="B398" s="9" t="s">
        <v>839</v>
      </c>
      <c r="C398" s="46" t="s">
        <v>837</v>
      </c>
      <c r="D398" s="48">
        <v>1</v>
      </c>
      <c r="M398" s="48"/>
      <c r="N398" s="44" t="s">
        <v>805</v>
      </c>
      <c r="O398" s="44" t="s">
        <v>802</v>
      </c>
    </row>
    <row r="399" spans="1:15" x14ac:dyDescent="0.25">
      <c r="A399" s="44">
        <v>2</v>
      </c>
      <c r="B399" s="9" t="s">
        <v>839</v>
      </c>
      <c r="C399" s="46" t="s">
        <v>838</v>
      </c>
      <c r="D399" s="48">
        <v>1</v>
      </c>
      <c r="M399" s="48"/>
      <c r="N399" s="44" t="s">
        <v>805</v>
      </c>
      <c r="O399" s="44" t="s">
        <v>802</v>
      </c>
    </row>
    <row r="400" spans="1:15" x14ac:dyDescent="0.25">
      <c r="A400" s="44"/>
      <c r="B400" s="9"/>
      <c r="C400" s="9"/>
      <c r="D400" s="9"/>
      <c r="M400" s="9"/>
      <c r="N400" s="9"/>
      <c r="O400" s="9"/>
    </row>
    <row r="401" spans="1:15" x14ac:dyDescent="0.25">
      <c r="A401" s="68" t="s">
        <v>840</v>
      </c>
      <c r="B401" s="69"/>
      <c r="C401" s="69"/>
      <c r="D401" s="69"/>
      <c r="E401" s="66"/>
      <c r="F401" s="66"/>
      <c r="G401" s="66"/>
      <c r="H401" s="66"/>
      <c r="I401" s="66"/>
      <c r="J401" s="66"/>
      <c r="K401" s="66"/>
      <c r="L401" s="66"/>
      <c r="M401" s="69"/>
      <c r="N401" s="69"/>
      <c r="O401" s="70"/>
    </row>
    <row r="402" spans="1:15" x14ac:dyDescent="0.25">
      <c r="A402" s="44">
        <v>1</v>
      </c>
      <c r="B402" s="9" t="s">
        <v>845</v>
      </c>
      <c r="C402" s="46" t="s">
        <v>841</v>
      </c>
      <c r="D402" s="48">
        <v>1</v>
      </c>
      <c r="M402" s="9"/>
      <c r="N402" s="44" t="s">
        <v>805</v>
      </c>
      <c r="O402" s="44" t="s">
        <v>802</v>
      </c>
    </row>
    <row r="403" spans="1:15" x14ac:dyDescent="0.25">
      <c r="A403" s="44">
        <v>2</v>
      </c>
      <c r="B403" s="9" t="s">
        <v>845</v>
      </c>
      <c r="C403" s="46" t="s">
        <v>842</v>
      </c>
      <c r="D403" s="48">
        <v>1</v>
      </c>
      <c r="M403" s="9"/>
      <c r="N403" s="44" t="s">
        <v>805</v>
      </c>
      <c r="O403" s="44" t="s">
        <v>802</v>
      </c>
    </row>
    <row r="404" spans="1:15" x14ac:dyDescent="0.25">
      <c r="A404" s="44">
        <v>3</v>
      </c>
      <c r="B404" s="9" t="s">
        <v>845</v>
      </c>
      <c r="C404" s="46" t="s">
        <v>843</v>
      </c>
      <c r="D404" s="48">
        <v>1</v>
      </c>
      <c r="M404" s="9"/>
      <c r="N404" s="44" t="s">
        <v>805</v>
      </c>
      <c r="O404" s="44" t="s">
        <v>802</v>
      </c>
    </row>
    <row r="405" spans="1:15" x14ac:dyDescent="0.25">
      <c r="A405" s="44">
        <v>4</v>
      </c>
      <c r="B405" s="9" t="s">
        <v>845</v>
      </c>
      <c r="C405" s="46" t="s">
        <v>844</v>
      </c>
      <c r="D405" s="48">
        <v>1</v>
      </c>
      <c r="M405" s="9"/>
      <c r="N405" s="44" t="s">
        <v>805</v>
      </c>
      <c r="O405" s="44" t="s">
        <v>802</v>
      </c>
    </row>
    <row r="406" spans="1:15" x14ac:dyDescent="0.25">
      <c r="A406" s="44"/>
      <c r="B406" s="9"/>
      <c r="C406" s="9"/>
      <c r="D406" s="9"/>
      <c r="M406" s="9"/>
      <c r="N406" s="9"/>
      <c r="O406" s="9"/>
    </row>
    <row r="407" spans="1:15" s="56" customFormat="1" x14ac:dyDescent="0.25">
      <c r="A407" s="68" t="s">
        <v>846</v>
      </c>
      <c r="B407" s="69"/>
      <c r="C407" s="69"/>
      <c r="D407" s="69"/>
      <c r="E407" s="66"/>
      <c r="F407" s="66"/>
      <c r="G407" s="66"/>
      <c r="H407" s="66"/>
      <c r="I407" s="66"/>
      <c r="J407" s="66"/>
      <c r="K407" s="66"/>
      <c r="L407" s="66"/>
      <c r="M407" s="69"/>
      <c r="N407" s="69"/>
      <c r="O407" s="70"/>
    </row>
    <row r="408" spans="1:15" x14ac:dyDescent="0.25">
      <c r="A408" s="44">
        <v>1</v>
      </c>
      <c r="B408" s="9" t="s">
        <v>852</v>
      </c>
      <c r="C408" s="46" t="s">
        <v>847</v>
      </c>
      <c r="D408" s="48">
        <v>1</v>
      </c>
      <c r="M408" s="9"/>
      <c r="N408" s="44" t="s">
        <v>805</v>
      </c>
      <c r="O408" s="44" t="s">
        <v>802</v>
      </c>
    </row>
    <row r="409" spans="1:15" x14ac:dyDescent="0.25">
      <c r="A409" s="44">
        <v>2</v>
      </c>
      <c r="B409" s="9" t="s">
        <v>852</v>
      </c>
      <c r="C409" s="46" t="s">
        <v>842</v>
      </c>
      <c r="D409" s="48">
        <v>1</v>
      </c>
      <c r="M409" s="9"/>
      <c r="N409" s="44" t="s">
        <v>805</v>
      </c>
      <c r="O409" s="44" t="s">
        <v>802</v>
      </c>
    </row>
    <row r="410" spans="1:15" x14ac:dyDescent="0.25">
      <c r="A410" s="44">
        <v>3</v>
      </c>
      <c r="B410" s="9" t="s">
        <v>852</v>
      </c>
      <c r="C410" s="46" t="s">
        <v>848</v>
      </c>
      <c r="D410" s="48">
        <v>1</v>
      </c>
      <c r="M410" s="9"/>
      <c r="N410" s="44" t="s">
        <v>805</v>
      </c>
      <c r="O410" s="44" t="s">
        <v>802</v>
      </c>
    </row>
    <row r="411" spans="1:15" x14ac:dyDescent="0.25">
      <c r="A411" s="44">
        <v>4</v>
      </c>
      <c r="B411" s="9" t="s">
        <v>852</v>
      </c>
      <c r="C411" s="46" t="s">
        <v>849</v>
      </c>
      <c r="D411" s="48">
        <v>1</v>
      </c>
      <c r="M411" s="9"/>
      <c r="N411" s="44" t="s">
        <v>805</v>
      </c>
      <c r="O411" s="44" t="s">
        <v>802</v>
      </c>
    </row>
    <row r="412" spans="1:15" x14ac:dyDescent="0.25">
      <c r="A412" s="44">
        <v>5</v>
      </c>
      <c r="B412" s="9" t="s">
        <v>852</v>
      </c>
      <c r="C412" s="46" t="s">
        <v>850</v>
      </c>
      <c r="D412" s="48">
        <v>1</v>
      </c>
      <c r="M412" s="9"/>
      <c r="N412" s="44" t="s">
        <v>805</v>
      </c>
      <c r="O412" s="44" t="s">
        <v>802</v>
      </c>
    </row>
    <row r="413" spans="1:15" x14ac:dyDescent="0.25">
      <c r="A413" s="44">
        <v>6</v>
      </c>
      <c r="B413" s="9" t="s">
        <v>852</v>
      </c>
      <c r="C413" s="46" t="s">
        <v>851</v>
      </c>
      <c r="D413" s="48">
        <v>1</v>
      </c>
      <c r="M413" s="9"/>
      <c r="N413" s="44" t="s">
        <v>805</v>
      </c>
      <c r="O413" s="44" t="s">
        <v>802</v>
      </c>
    </row>
    <row r="414" spans="1:15" x14ac:dyDescent="0.25">
      <c r="A414" s="44">
        <v>7</v>
      </c>
      <c r="B414" s="9" t="s">
        <v>852</v>
      </c>
      <c r="C414" s="46" t="s">
        <v>843</v>
      </c>
      <c r="D414" s="48">
        <v>1</v>
      </c>
      <c r="M414" s="9"/>
      <c r="N414" s="44" t="s">
        <v>805</v>
      </c>
      <c r="O414" s="44" t="s">
        <v>802</v>
      </c>
    </row>
    <row r="415" spans="1:15" x14ac:dyDescent="0.25">
      <c r="A415" s="44">
        <v>8</v>
      </c>
      <c r="B415" s="9" t="s">
        <v>852</v>
      </c>
      <c r="C415" s="46" t="s">
        <v>844</v>
      </c>
      <c r="D415" s="48">
        <v>1</v>
      </c>
      <c r="M415" s="9"/>
      <c r="N415" s="44" t="s">
        <v>805</v>
      </c>
      <c r="O415" s="44" t="s">
        <v>802</v>
      </c>
    </row>
    <row r="416" spans="1:15" x14ac:dyDescent="0.25">
      <c r="A416" s="44"/>
      <c r="B416" s="9"/>
      <c r="C416" s="9"/>
      <c r="D416" s="9"/>
      <c r="M416" s="9"/>
      <c r="N416" s="9"/>
      <c r="O416" s="9"/>
    </row>
    <row r="417" spans="1:15" s="56" customFormat="1" x14ac:dyDescent="0.25">
      <c r="A417" s="68" t="s">
        <v>853</v>
      </c>
      <c r="B417" s="69"/>
      <c r="C417" s="69"/>
      <c r="D417" s="69"/>
      <c r="E417" s="66"/>
      <c r="F417" s="66"/>
      <c r="G417" s="66"/>
      <c r="H417" s="66"/>
      <c r="I417" s="66"/>
      <c r="J417" s="66"/>
      <c r="K417" s="66"/>
      <c r="L417" s="66"/>
      <c r="M417" s="69"/>
      <c r="N417" s="69"/>
      <c r="O417" s="70"/>
    </row>
    <row r="418" spans="1:15" x14ac:dyDescent="0.25">
      <c r="A418" s="44">
        <v>1</v>
      </c>
      <c r="B418" s="9" t="s">
        <v>855</v>
      </c>
      <c r="C418" s="46" t="s">
        <v>854</v>
      </c>
      <c r="D418" s="48">
        <v>1</v>
      </c>
      <c r="M418" s="9"/>
      <c r="N418" s="44" t="s">
        <v>795</v>
      </c>
      <c r="O418" s="44" t="s">
        <v>802</v>
      </c>
    </row>
    <row r="419" spans="1:15" x14ac:dyDescent="0.25">
      <c r="A419" s="44">
        <v>2</v>
      </c>
      <c r="B419" s="9" t="s">
        <v>855</v>
      </c>
      <c r="C419" s="46" t="s">
        <v>842</v>
      </c>
      <c r="D419" s="48">
        <v>1</v>
      </c>
      <c r="M419" s="9"/>
      <c r="N419" s="44" t="s">
        <v>795</v>
      </c>
      <c r="O419" s="44" t="s">
        <v>802</v>
      </c>
    </row>
    <row r="420" spans="1:15" x14ac:dyDescent="0.25">
      <c r="A420" s="44"/>
      <c r="B420" s="9"/>
      <c r="C420" s="9"/>
      <c r="D420" s="9"/>
      <c r="M420" s="9"/>
      <c r="N420" s="44" t="s">
        <v>795</v>
      </c>
      <c r="O420" s="9"/>
    </row>
    <row r="421" spans="1:15" s="56" customFormat="1" x14ac:dyDescent="0.25">
      <c r="A421" s="68" t="s">
        <v>856</v>
      </c>
      <c r="B421" s="69"/>
      <c r="C421" s="69"/>
      <c r="D421" s="69"/>
      <c r="E421" s="66"/>
      <c r="F421" s="66"/>
      <c r="G421" s="66"/>
      <c r="H421" s="66"/>
      <c r="I421" s="66"/>
      <c r="J421" s="66"/>
      <c r="K421" s="66"/>
      <c r="L421" s="66"/>
      <c r="M421" s="69"/>
      <c r="N421" s="69"/>
      <c r="O421" s="70"/>
    </row>
    <row r="422" spans="1:15" x14ac:dyDescent="0.25">
      <c r="A422" s="44">
        <v>1</v>
      </c>
      <c r="B422" s="9" t="s">
        <v>866</v>
      </c>
      <c r="C422" s="46" t="s">
        <v>857</v>
      </c>
      <c r="D422" s="48">
        <v>1</v>
      </c>
      <c r="M422" s="9"/>
      <c r="N422" s="44" t="s">
        <v>804</v>
      </c>
      <c r="O422" s="44" t="s">
        <v>802</v>
      </c>
    </row>
    <row r="423" spans="1:15" x14ac:dyDescent="0.25">
      <c r="A423" s="44">
        <v>2</v>
      </c>
      <c r="B423" s="9" t="s">
        <v>866</v>
      </c>
      <c r="C423" s="46" t="s">
        <v>858</v>
      </c>
      <c r="D423" s="48">
        <v>1</v>
      </c>
      <c r="M423" s="9"/>
      <c r="N423" s="44" t="s">
        <v>804</v>
      </c>
      <c r="O423" s="44" t="s">
        <v>802</v>
      </c>
    </row>
    <row r="424" spans="1:15" x14ac:dyDescent="0.25">
      <c r="A424" s="44">
        <v>3</v>
      </c>
      <c r="B424" s="9" t="s">
        <v>866</v>
      </c>
      <c r="C424" s="46" t="s">
        <v>859</v>
      </c>
      <c r="D424" s="48">
        <v>1</v>
      </c>
      <c r="M424" s="9"/>
      <c r="N424" s="44" t="s">
        <v>804</v>
      </c>
      <c r="O424" s="44" t="s">
        <v>802</v>
      </c>
    </row>
    <row r="425" spans="1:15" x14ac:dyDescent="0.25">
      <c r="A425" s="44">
        <v>4</v>
      </c>
      <c r="B425" s="9" t="s">
        <v>866</v>
      </c>
      <c r="C425" s="46" t="s">
        <v>860</v>
      </c>
      <c r="D425" s="48">
        <v>1</v>
      </c>
      <c r="M425" s="9"/>
      <c r="N425" s="44" t="s">
        <v>804</v>
      </c>
      <c r="O425" s="44" t="s">
        <v>802</v>
      </c>
    </row>
    <row r="426" spans="1:15" x14ac:dyDescent="0.25">
      <c r="A426" s="44">
        <v>5</v>
      </c>
      <c r="B426" s="9" t="s">
        <v>866</v>
      </c>
      <c r="C426" s="46" t="s">
        <v>861</v>
      </c>
      <c r="D426" s="48">
        <v>1</v>
      </c>
      <c r="M426" s="9"/>
      <c r="N426" s="44" t="s">
        <v>804</v>
      </c>
      <c r="O426" s="44" t="s">
        <v>802</v>
      </c>
    </row>
    <row r="427" spans="1:15" x14ac:dyDescent="0.25">
      <c r="A427" s="44">
        <v>6</v>
      </c>
      <c r="B427" s="9" t="s">
        <v>866</v>
      </c>
      <c r="C427" s="46" t="s">
        <v>862</v>
      </c>
      <c r="D427" s="48">
        <v>1</v>
      </c>
      <c r="M427" s="9"/>
      <c r="N427" s="44" t="s">
        <v>804</v>
      </c>
      <c r="O427" s="44" t="s">
        <v>802</v>
      </c>
    </row>
    <row r="428" spans="1:15" x14ac:dyDescent="0.25">
      <c r="A428" s="44">
        <v>7</v>
      </c>
      <c r="B428" s="9" t="s">
        <v>866</v>
      </c>
      <c r="C428" s="46" t="s">
        <v>863</v>
      </c>
      <c r="D428" s="48">
        <v>1</v>
      </c>
      <c r="M428" s="9"/>
      <c r="N428" s="44" t="s">
        <v>804</v>
      </c>
      <c r="O428" s="44" t="s">
        <v>802</v>
      </c>
    </row>
    <row r="429" spans="1:15" x14ac:dyDescent="0.25">
      <c r="A429" s="44">
        <v>8</v>
      </c>
      <c r="B429" s="9" t="s">
        <v>866</v>
      </c>
      <c r="C429" s="46" t="s">
        <v>864</v>
      </c>
      <c r="D429" s="48">
        <v>1</v>
      </c>
      <c r="M429" s="9"/>
      <c r="N429" s="44" t="s">
        <v>804</v>
      </c>
      <c r="O429" s="44" t="s">
        <v>802</v>
      </c>
    </row>
    <row r="430" spans="1:15" x14ac:dyDescent="0.25">
      <c r="A430" s="44">
        <v>9</v>
      </c>
      <c r="B430" s="9" t="s">
        <v>866</v>
      </c>
      <c r="C430" s="46" t="s">
        <v>865</v>
      </c>
      <c r="D430" s="48">
        <v>1</v>
      </c>
      <c r="M430" s="9"/>
      <c r="N430" s="44" t="s">
        <v>804</v>
      </c>
      <c r="O430" s="44" t="s">
        <v>802</v>
      </c>
    </row>
    <row r="431" spans="1:15" x14ac:dyDescent="0.25">
      <c r="A431" s="44"/>
      <c r="B431" s="9"/>
      <c r="C431" s="9"/>
      <c r="D431" s="9"/>
      <c r="M431" s="9"/>
      <c r="N431" s="9"/>
      <c r="O431" s="9"/>
    </row>
    <row r="432" spans="1:15" s="56" customFormat="1" x14ac:dyDescent="0.25">
      <c r="A432" s="68" t="s">
        <v>867</v>
      </c>
      <c r="B432" s="69"/>
      <c r="C432" s="69"/>
      <c r="D432" s="69"/>
      <c r="E432" s="66"/>
      <c r="F432" s="66"/>
      <c r="G432" s="66"/>
      <c r="H432" s="66"/>
      <c r="I432" s="66"/>
      <c r="J432" s="66"/>
      <c r="K432" s="66"/>
      <c r="L432" s="66"/>
      <c r="M432" s="69"/>
      <c r="N432" s="69"/>
      <c r="O432" s="70"/>
    </row>
    <row r="433" spans="1:15" x14ac:dyDescent="0.25">
      <c r="A433" s="44">
        <v>1</v>
      </c>
      <c r="B433" s="9" t="s">
        <v>882</v>
      </c>
      <c r="C433" s="42" t="s">
        <v>868</v>
      </c>
      <c r="D433" s="60">
        <v>1</v>
      </c>
      <c r="M433" s="9"/>
      <c r="N433" s="44" t="s">
        <v>804</v>
      </c>
      <c r="O433" s="44" t="s">
        <v>802</v>
      </c>
    </row>
    <row r="434" spans="1:15" x14ac:dyDescent="0.25">
      <c r="A434" s="44">
        <v>2</v>
      </c>
      <c r="B434" s="9" t="s">
        <v>882</v>
      </c>
      <c r="C434" s="42" t="s">
        <v>869</v>
      </c>
      <c r="D434" s="60">
        <v>1</v>
      </c>
      <c r="M434" s="9"/>
      <c r="N434" s="44" t="s">
        <v>804</v>
      </c>
      <c r="O434" s="44" t="s">
        <v>802</v>
      </c>
    </row>
    <row r="435" spans="1:15" x14ac:dyDescent="0.25">
      <c r="A435" s="44">
        <v>3</v>
      </c>
      <c r="B435" s="9" t="s">
        <v>882</v>
      </c>
      <c r="C435" s="42" t="s">
        <v>870</v>
      </c>
      <c r="D435" s="60">
        <v>1</v>
      </c>
      <c r="M435" s="9"/>
      <c r="N435" s="44" t="s">
        <v>804</v>
      </c>
      <c r="O435" s="44" t="s">
        <v>802</v>
      </c>
    </row>
    <row r="436" spans="1:15" x14ac:dyDescent="0.25">
      <c r="A436" s="44">
        <v>4</v>
      </c>
      <c r="B436" s="9" t="s">
        <v>882</v>
      </c>
      <c r="C436" s="42" t="s">
        <v>871</v>
      </c>
      <c r="D436" s="60">
        <v>1</v>
      </c>
      <c r="M436" s="9"/>
      <c r="N436" s="44" t="s">
        <v>804</v>
      </c>
      <c r="O436" s="44" t="s">
        <v>802</v>
      </c>
    </row>
    <row r="437" spans="1:15" x14ac:dyDescent="0.25">
      <c r="A437" s="44">
        <v>5</v>
      </c>
      <c r="B437" s="9" t="s">
        <v>882</v>
      </c>
      <c r="C437" s="42" t="s">
        <v>813</v>
      </c>
      <c r="D437" s="60">
        <v>2</v>
      </c>
      <c r="M437" s="9"/>
      <c r="N437" s="44" t="s">
        <v>804</v>
      </c>
      <c r="O437" s="44" t="s">
        <v>802</v>
      </c>
    </row>
    <row r="438" spans="1:15" x14ac:dyDescent="0.25">
      <c r="A438" s="44">
        <v>6</v>
      </c>
      <c r="B438" s="9" t="s">
        <v>882</v>
      </c>
      <c r="C438" s="42" t="s">
        <v>872</v>
      </c>
      <c r="D438" s="60">
        <v>1</v>
      </c>
      <c r="M438" s="9"/>
      <c r="N438" s="44" t="s">
        <v>804</v>
      </c>
      <c r="O438" s="44" t="s">
        <v>802</v>
      </c>
    </row>
    <row r="439" spans="1:15" x14ac:dyDescent="0.25">
      <c r="A439" s="44">
        <v>7</v>
      </c>
      <c r="B439" s="9" t="s">
        <v>882</v>
      </c>
      <c r="C439" s="42" t="s">
        <v>873</v>
      </c>
      <c r="D439" s="60">
        <v>2</v>
      </c>
      <c r="M439" s="9"/>
      <c r="N439" s="44" t="s">
        <v>804</v>
      </c>
      <c r="O439" s="44" t="s">
        <v>802</v>
      </c>
    </row>
    <row r="440" spans="1:15" x14ac:dyDescent="0.25">
      <c r="A440" s="44">
        <v>8</v>
      </c>
      <c r="B440" s="9" t="s">
        <v>882</v>
      </c>
      <c r="C440" s="42" t="s">
        <v>874</v>
      </c>
      <c r="D440" s="60">
        <v>1</v>
      </c>
      <c r="M440" s="9"/>
      <c r="N440" s="44" t="s">
        <v>804</v>
      </c>
      <c r="O440" s="44" t="s">
        <v>802</v>
      </c>
    </row>
    <row r="441" spans="1:15" x14ac:dyDescent="0.25">
      <c r="A441" s="44">
        <v>9</v>
      </c>
      <c r="B441" s="9" t="s">
        <v>882</v>
      </c>
      <c r="C441" s="42" t="s">
        <v>875</v>
      </c>
      <c r="D441" s="60">
        <v>2</v>
      </c>
      <c r="M441" s="9"/>
      <c r="N441" s="44" t="s">
        <v>804</v>
      </c>
      <c r="O441" s="44" t="s">
        <v>802</v>
      </c>
    </row>
    <row r="442" spans="1:15" x14ac:dyDescent="0.25">
      <c r="A442" s="44">
        <v>10</v>
      </c>
      <c r="B442" s="9" t="s">
        <v>882</v>
      </c>
      <c r="C442" s="42" t="s">
        <v>876</v>
      </c>
      <c r="D442" s="60">
        <v>3</v>
      </c>
      <c r="M442" s="9"/>
      <c r="N442" s="44" t="s">
        <v>804</v>
      </c>
      <c r="O442" s="44" t="s">
        <v>802</v>
      </c>
    </row>
    <row r="443" spans="1:15" x14ac:dyDescent="0.25">
      <c r="A443" s="44">
        <v>11</v>
      </c>
      <c r="B443" s="9" t="s">
        <v>882</v>
      </c>
      <c r="C443" s="42" t="s">
        <v>818</v>
      </c>
      <c r="D443" s="60">
        <v>1</v>
      </c>
      <c r="M443" s="9"/>
      <c r="N443" s="44" t="s">
        <v>804</v>
      </c>
      <c r="O443" s="44" t="s">
        <v>802</v>
      </c>
    </row>
    <row r="444" spans="1:15" x14ac:dyDescent="0.25">
      <c r="A444" s="44">
        <v>12</v>
      </c>
      <c r="B444" s="9" t="s">
        <v>882</v>
      </c>
      <c r="C444" s="42" t="s">
        <v>838</v>
      </c>
      <c r="D444" s="60">
        <v>1</v>
      </c>
      <c r="M444" s="9"/>
      <c r="N444" s="44" t="s">
        <v>804</v>
      </c>
      <c r="O444" s="44" t="s">
        <v>802</v>
      </c>
    </row>
    <row r="445" spans="1:15" x14ac:dyDescent="0.25">
      <c r="A445" s="44">
        <v>13</v>
      </c>
      <c r="B445" s="9" t="s">
        <v>882</v>
      </c>
      <c r="C445" s="42" t="s">
        <v>877</v>
      </c>
      <c r="D445" s="60">
        <v>2</v>
      </c>
      <c r="M445" s="9"/>
      <c r="N445" s="44" t="s">
        <v>804</v>
      </c>
      <c r="O445" s="44" t="s">
        <v>802</v>
      </c>
    </row>
    <row r="446" spans="1:15" x14ac:dyDescent="0.25">
      <c r="A446" s="44">
        <v>14</v>
      </c>
      <c r="B446" s="9" t="s">
        <v>882</v>
      </c>
      <c r="C446" s="42" t="s">
        <v>878</v>
      </c>
      <c r="D446" s="60">
        <v>1</v>
      </c>
      <c r="M446" s="9"/>
      <c r="N446" s="44" t="s">
        <v>804</v>
      </c>
      <c r="O446" s="44" t="s">
        <v>802</v>
      </c>
    </row>
    <row r="447" spans="1:15" x14ac:dyDescent="0.25">
      <c r="A447" s="44">
        <v>15</v>
      </c>
      <c r="B447" s="9" t="s">
        <v>882</v>
      </c>
      <c r="C447" s="42" t="s">
        <v>879</v>
      </c>
      <c r="D447" s="60">
        <v>1</v>
      </c>
      <c r="M447" s="9"/>
      <c r="N447" s="44" t="s">
        <v>804</v>
      </c>
      <c r="O447" s="44" t="s">
        <v>802</v>
      </c>
    </row>
    <row r="448" spans="1:15" x14ac:dyDescent="0.25">
      <c r="A448" s="44">
        <v>16</v>
      </c>
      <c r="B448" s="9" t="s">
        <v>882</v>
      </c>
      <c r="C448" s="42" t="s">
        <v>827</v>
      </c>
      <c r="D448" s="60">
        <v>1</v>
      </c>
      <c r="M448" s="9"/>
      <c r="N448" s="44" t="s">
        <v>804</v>
      </c>
      <c r="O448" s="44" t="s">
        <v>802</v>
      </c>
    </row>
    <row r="449" spans="1:15" x14ac:dyDescent="0.25">
      <c r="A449" s="44">
        <v>17</v>
      </c>
      <c r="B449" s="9" t="s">
        <v>882</v>
      </c>
      <c r="C449" s="42" t="s">
        <v>829</v>
      </c>
      <c r="D449" s="60">
        <v>1</v>
      </c>
      <c r="M449" s="9"/>
      <c r="N449" s="44" t="s">
        <v>804</v>
      </c>
      <c r="O449" s="44" t="s">
        <v>802</v>
      </c>
    </row>
    <row r="450" spans="1:15" x14ac:dyDescent="0.25">
      <c r="A450" s="44">
        <v>18</v>
      </c>
      <c r="B450" s="9" t="s">
        <v>882</v>
      </c>
      <c r="C450" s="42" t="s">
        <v>880</v>
      </c>
      <c r="D450" s="60">
        <v>2</v>
      </c>
      <c r="M450" s="9"/>
      <c r="N450" s="44" t="s">
        <v>804</v>
      </c>
      <c r="O450" s="44" t="s">
        <v>802</v>
      </c>
    </row>
    <row r="451" spans="1:15" x14ac:dyDescent="0.25">
      <c r="A451" s="44">
        <v>19</v>
      </c>
      <c r="B451" s="9" t="s">
        <v>882</v>
      </c>
      <c r="C451" s="42" t="s">
        <v>881</v>
      </c>
      <c r="D451" s="60">
        <v>1</v>
      </c>
      <c r="M451" s="9"/>
      <c r="N451" s="44" t="s">
        <v>804</v>
      </c>
      <c r="O451" s="44" t="s">
        <v>802</v>
      </c>
    </row>
    <row r="452" spans="1:15" x14ac:dyDescent="0.25">
      <c r="A452" s="9"/>
      <c r="B452" s="9"/>
      <c r="C452" s="9"/>
      <c r="D452" s="9"/>
      <c r="M452" s="9"/>
      <c r="N452" s="9"/>
      <c r="O452" s="9"/>
    </row>
    <row r="453" spans="1:15" s="56" customFormat="1" x14ac:dyDescent="0.25">
      <c r="A453" s="83" t="s">
        <v>883</v>
      </c>
      <c r="B453" s="84"/>
      <c r="C453" s="84"/>
      <c r="D453" s="84"/>
      <c r="E453" s="64"/>
      <c r="F453" s="64"/>
      <c r="G453" s="64"/>
      <c r="H453" s="64"/>
      <c r="I453" s="64"/>
      <c r="J453" s="64"/>
      <c r="K453" s="64"/>
      <c r="L453" s="64"/>
      <c r="M453" s="84"/>
      <c r="N453" s="84"/>
      <c r="O453" s="85"/>
    </row>
    <row r="454" spans="1:15" x14ac:dyDescent="0.25">
      <c r="A454" s="44">
        <v>1</v>
      </c>
      <c r="B454" s="9" t="s">
        <v>886</v>
      </c>
      <c r="C454" s="42" t="s">
        <v>884</v>
      </c>
      <c r="D454" s="44">
        <v>1</v>
      </c>
      <c r="M454" s="9"/>
      <c r="N454" s="44" t="s">
        <v>800</v>
      </c>
      <c r="O454" s="44" t="s">
        <v>801</v>
      </c>
    </row>
    <row r="455" spans="1:15" x14ac:dyDescent="0.25">
      <c r="A455" s="44">
        <v>2</v>
      </c>
      <c r="B455" s="9" t="s">
        <v>886</v>
      </c>
      <c r="C455" s="42" t="s">
        <v>884</v>
      </c>
      <c r="D455" s="44">
        <v>1</v>
      </c>
      <c r="M455" s="9"/>
      <c r="N455" s="44" t="s">
        <v>800</v>
      </c>
      <c r="O455" s="44" t="s">
        <v>801</v>
      </c>
    </row>
    <row r="456" spans="1:15" x14ac:dyDescent="0.25">
      <c r="A456" s="44">
        <v>3</v>
      </c>
      <c r="B456" s="9" t="s">
        <v>886</v>
      </c>
      <c r="C456" s="42" t="s">
        <v>844</v>
      </c>
      <c r="D456" s="44">
        <v>1</v>
      </c>
      <c r="M456" s="9"/>
      <c r="N456" s="44" t="s">
        <v>800</v>
      </c>
      <c r="O456" s="44" t="s">
        <v>801</v>
      </c>
    </row>
    <row r="457" spans="1:15" x14ac:dyDescent="0.25">
      <c r="A457" s="44">
        <v>4</v>
      </c>
      <c r="B457" s="9" t="s">
        <v>886</v>
      </c>
      <c r="C457" s="42" t="s">
        <v>844</v>
      </c>
      <c r="D457" s="44">
        <v>1</v>
      </c>
      <c r="M457" s="9"/>
      <c r="N457" s="44" t="s">
        <v>800</v>
      </c>
      <c r="O457" s="44" t="s">
        <v>801</v>
      </c>
    </row>
    <row r="458" spans="1:15" x14ac:dyDescent="0.25">
      <c r="A458" s="44">
        <v>5</v>
      </c>
      <c r="B458" s="9" t="s">
        <v>886</v>
      </c>
      <c r="C458" s="42" t="s">
        <v>885</v>
      </c>
      <c r="D458" s="44">
        <v>1</v>
      </c>
      <c r="M458" s="9"/>
      <c r="N458" s="44" t="s">
        <v>800</v>
      </c>
      <c r="O458" s="44" t="s">
        <v>801</v>
      </c>
    </row>
    <row r="459" spans="1:15" x14ac:dyDescent="0.25">
      <c r="A459" s="44">
        <v>6</v>
      </c>
      <c r="B459" s="9" t="s">
        <v>886</v>
      </c>
      <c r="C459" s="42" t="s">
        <v>885</v>
      </c>
      <c r="D459" s="44">
        <v>1</v>
      </c>
      <c r="M459" s="9"/>
      <c r="N459" s="44" t="s">
        <v>800</v>
      </c>
      <c r="O459" s="44" t="s">
        <v>801</v>
      </c>
    </row>
    <row r="460" spans="1:15" x14ac:dyDescent="0.25">
      <c r="A460" s="44">
        <v>7</v>
      </c>
      <c r="B460" s="9" t="s">
        <v>886</v>
      </c>
      <c r="C460" s="42" t="s">
        <v>842</v>
      </c>
      <c r="D460" s="44">
        <v>1</v>
      </c>
      <c r="M460" s="9"/>
      <c r="N460" s="44" t="s">
        <v>800</v>
      </c>
      <c r="O460" s="44" t="s">
        <v>801</v>
      </c>
    </row>
    <row r="461" spans="1:15" x14ac:dyDescent="0.25">
      <c r="A461" s="44">
        <v>8</v>
      </c>
      <c r="B461" s="9" t="s">
        <v>886</v>
      </c>
      <c r="C461" s="42" t="s">
        <v>842</v>
      </c>
      <c r="D461" s="44">
        <v>1</v>
      </c>
      <c r="M461" s="9"/>
      <c r="N461" s="44" t="s">
        <v>800</v>
      </c>
      <c r="O461" s="44" t="s">
        <v>801</v>
      </c>
    </row>
    <row r="462" spans="1:15" x14ac:dyDescent="0.25">
      <c r="A462" s="9"/>
      <c r="B462" s="9"/>
      <c r="C462" s="9"/>
      <c r="D462" s="9"/>
      <c r="M462" s="9"/>
      <c r="N462" s="9"/>
      <c r="O462" s="9"/>
    </row>
    <row r="463" spans="1:15" s="56" customFormat="1" x14ac:dyDescent="0.25">
      <c r="A463" s="83" t="s">
        <v>887</v>
      </c>
      <c r="B463" s="84"/>
      <c r="C463" s="84"/>
      <c r="D463" s="84"/>
      <c r="E463" s="64"/>
      <c r="F463" s="64"/>
      <c r="G463" s="64"/>
      <c r="H463" s="64"/>
      <c r="I463" s="64"/>
      <c r="J463" s="64"/>
      <c r="K463" s="64"/>
      <c r="L463" s="64"/>
      <c r="M463" s="84"/>
      <c r="N463" s="84"/>
      <c r="O463" s="85"/>
    </row>
    <row r="464" spans="1:15" ht="30" x14ac:dyDescent="0.25">
      <c r="A464" s="44">
        <v>1</v>
      </c>
      <c r="B464" s="61" t="s">
        <v>888</v>
      </c>
      <c r="C464" s="47" t="s">
        <v>890</v>
      </c>
      <c r="D464" s="44">
        <v>1</v>
      </c>
      <c r="M464" s="44"/>
      <c r="N464" s="44" t="s">
        <v>804</v>
      </c>
      <c r="O464" s="44" t="s">
        <v>802</v>
      </c>
    </row>
    <row r="465" spans="1:15" x14ac:dyDescent="0.25">
      <c r="A465" s="44">
        <v>2</v>
      </c>
      <c r="B465" s="61" t="s">
        <v>889</v>
      </c>
      <c r="C465" s="47" t="s">
        <v>843</v>
      </c>
      <c r="D465" s="44">
        <v>1</v>
      </c>
      <c r="M465" s="44"/>
      <c r="N465" s="44" t="s">
        <v>804</v>
      </c>
      <c r="O465" s="44" t="s">
        <v>802</v>
      </c>
    </row>
    <row r="466" spans="1:15" x14ac:dyDescent="0.25">
      <c r="A466" s="9"/>
      <c r="B466" s="9"/>
      <c r="C466" s="9"/>
      <c r="D466" s="9"/>
      <c r="M466" s="9"/>
      <c r="N466" s="9"/>
      <c r="O466" s="9"/>
    </row>
    <row r="467" spans="1:15" x14ac:dyDescent="0.25">
      <c r="A467" s="9"/>
      <c r="B467" s="9"/>
      <c r="C467" s="9"/>
      <c r="D467" s="9"/>
      <c r="M467" s="9"/>
      <c r="N467" s="9"/>
      <c r="O467" s="9"/>
    </row>
    <row r="468" spans="1:15" x14ac:dyDescent="0.25">
      <c r="A468" s="9"/>
      <c r="B468" s="9"/>
      <c r="C468" s="9"/>
      <c r="D468" s="9"/>
      <c r="M468" s="9"/>
      <c r="N468" s="9"/>
      <c r="O468" s="9"/>
    </row>
    <row r="469" spans="1:15" x14ac:dyDescent="0.25">
      <c r="A469" s="9"/>
      <c r="B469" s="9"/>
      <c r="C469" s="9"/>
      <c r="D469" s="9"/>
      <c r="M469" s="9"/>
      <c r="N469" s="9"/>
      <c r="O469" s="9"/>
    </row>
    <row r="470" spans="1:15" x14ac:dyDescent="0.25">
      <c r="A470" s="9"/>
      <c r="B470" s="9"/>
      <c r="C470" s="9"/>
      <c r="D470" s="9"/>
      <c r="M470" s="9"/>
      <c r="N470" s="9"/>
      <c r="O470" s="9"/>
    </row>
    <row r="471" spans="1:15" x14ac:dyDescent="0.25">
      <c r="A471" s="9"/>
      <c r="B471" s="9"/>
      <c r="C471" s="9"/>
      <c r="D471" s="9"/>
      <c r="M471" s="9"/>
      <c r="N471" s="9"/>
      <c r="O471" s="9"/>
    </row>
    <row r="472" spans="1:15" x14ac:dyDescent="0.25">
      <c r="A472" s="9"/>
      <c r="B472" s="9"/>
      <c r="C472" s="9"/>
      <c r="D472" s="9"/>
      <c r="M472" s="9"/>
      <c r="N472" s="9"/>
      <c r="O472" s="9"/>
    </row>
    <row r="473" spans="1:15" x14ac:dyDescent="0.25">
      <c r="A473" s="9"/>
      <c r="B473" s="9"/>
      <c r="C473" s="9"/>
      <c r="D473" s="9"/>
      <c r="M473" s="9"/>
      <c r="N473" s="9"/>
      <c r="O473" s="9"/>
    </row>
    <row r="474" spans="1:15" x14ac:dyDescent="0.25">
      <c r="A474" s="9"/>
      <c r="B474" s="9"/>
      <c r="C474" s="9"/>
      <c r="D474" s="9"/>
      <c r="M474" s="9"/>
      <c r="N474" s="9"/>
      <c r="O474" s="9"/>
    </row>
    <row r="475" spans="1:15" x14ac:dyDescent="0.25">
      <c r="A475" s="9"/>
      <c r="B475" s="9"/>
      <c r="C475" s="9"/>
      <c r="D475" s="9"/>
      <c r="M475" s="9"/>
      <c r="N475" s="9"/>
      <c r="O475" s="9"/>
    </row>
    <row r="476" spans="1:15" x14ac:dyDescent="0.25">
      <c r="A476" s="9"/>
      <c r="B476" s="9"/>
      <c r="C476" s="9"/>
      <c r="D476" s="9"/>
      <c r="M476" s="9"/>
      <c r="N476" s="9"/>
      <c r="O476" s="9"/>
    </row>
    <row r="477" spans="1:15" x14ac:dyDescent="0.25">
      <c r="A477" s="9"/>
      <c r="B477" s="9"/>
      <c r="C477" s="9"/>
      <c r="D477" s="9"/>
      <c r="M477" s="9"/>
      <c r="N477" s="9"/>
      <c r="O477" s="9"/>
    </row>
    <row r="478" spans="1:15" x14ac:dyDescent="0.25">
      <c r="A478" s="9"/>
      <c r="B478" s="9"/>
      <c r="C478" s="9"/>
      <c r="D478" s="9"/>
      <c r="M478" s="9"/>
      <c r="N478" s="9"/>
      <c r="O478" s="9"/>
    </row>
    <row r="479" spans="1:15" x14ac:dyDescent="0.25">
      <c r="A479" s="9"/>
      <c r="B479" s="9"/>
      <c r="C479" s="9"/>
      <c r="D479" s="9"/>
      <c r="M479" s="9"/>
      <c r="N479" s="9"/>
      <c r="O479" s="9"/>
    </row>
    <row r="480" spans="1:15" x14ac:dyDescent="0.25">
      <c r="A480" s="9"/>
      <c r="B480" s="9"/>
      <c r="C480" s="9"/>
      <c r="D480" s="9"/>
      <c r="M480" s="9"/>
      <c r="N480" s="9"/>
      <c r="O480" s="9"/>
    </row>
    <row r="481" spans="1:15" x14ac:dyDescent="0.25">
      <c r="A481" s="9"/>
      <c r="B481" s="9"/>
      <c r="C481" s="9"/>
      <c r="D481" s="9"/>
      <c r="M481" s="9"/>
      <c r="N481" s="9"/>
      <c r="O481" s="9"/>
    </row>
    <row r="482" spans="1:15" x14ac:dyDescent="0.25">
      <c r="A482" s="9"/>
      <c r="B482" s="9"/>
      <c r="C482" s="9"/>
      <c r="D482" s="9"/>
      <c r="M482" s="9"/>
      <c r="N482" s="9"/>
      <c r="O482" s="9"/>
    </row>
    <row r="483" spans="1:15" x14ac:dyDescent="0.25">
      <c r="A483" s="9"/>
      <c r="B483" s="9"/>
      <c r="C483" s="9"/>
      <c r="D483" s="9"/>
      <c r="M483" s="9"/>
      <c r="N483" s="9"/>
      <c r="O483" s="9"/>
    </row>
    <row r="484" spans="1:15" x14ac:dyDescent="0.25">
      <c r="A484" s="9"/>
      <c r="B484" s="9"/>
      <c r="C484" s="9"/>
      <c r="D484" s="9"/>
      <c r="M484" s="9"/>
      <c r="N484" s="9"/>
      <c r="O484" s="9"/>
    </row>
    <row r="485" spans="1:15" x14ac:dyDescent="0.25">
      <c r="A485" s="9"/>
      <c r="B485" s="9"/>
      <c r="C485" s="9"/>
      <c r="D485" s="9"/>
      <c r="M485" s="9"/>
      <c r="N485" s="9"/>
      <c r="O485" s="9"/>
    </row>
    <row r="486" spans="1:15" x14ac:dyDescent="0.25">
      <c r="A486" s="9"/>
      <c r="B486" s="9"/>
      <c r="C486" s="9"/>
      <c r="D486" s="9"/>
      <c r="M486" s="9"/>
      <c r="N486" s="9"/>
      <c r="O486" s="9"/>
    </row>
    <row r="487" spans="1:15" x14ac:dyDescent="0.25">
      <c r="A487" s="9"/>
      <c r="B487" s="9"/>
      <c r="C487" s="9"/>
      <c r="D487" s="9"/>
      <c r="M487" s="9"/>
      <c r="N487" s="9"/>
      <c r="O487" s="9"/>
    </row>
    <row r="488" spans="1:15" x14ac:dyDescent="0.25">
      <c r="A488" s="9"/>
      <c r="B488" s="9"/>
      <c r="C488" s="9"/>
      <c r="D488" s="9"/>
      <c r="M488" s="9"/>
      <c r="N488" s="9"/>
      <c r="O488" s="9"/>
    </row>
    <row r="489" spans="1:15" x14ac:dyDescent="0.25">
      <c r="A489" s="9"/>
      <c r="B489" s="9"/>
      <c r="C489" s="9"/>
      <c r="D489" s="9"/>
      <c r="M489" s="9"/>
      <c r="N489" s="9"/>
      <c r="O489" s="9"/>
    </row>
    <row r="490" spans="1:15" x14ac:dyDescent="0.25">
      <c r="A490" s="9"/>
      <c r="B490" s="9"/>
      <c r="C490" s="9"/>
      <c r="D490" s="9"/>
      <c r="M490" s="9"/>
      <c r="N490" s="9"/>
      <c r="O490" s="9"/>
    </row>
    <row r="491" spans="1:15" x14ac:dyDescent="0.25">
      <c r="A491" s="9"/>
      <c r="B491" s="9"/>
      <c r="C491" s="9"/>
      <c r="D491" s="9"/>
      <c r="M491" s="9"/>
      <c r="N491" s="9"/>
      <c r="O491" s="9"/>
    </row>
    <row r="492" spans="1:15" x14ac:dyDescent="0.25">
      <c r="A492" s="9"/>
      <c r="B492" s="9"/>
      <c r="C492" s="9"/>
      <c r="D492" s="9"/>
      <c r="M492" s="9"/>
      <c r="N492" s="9"/>
      <c r="O492" s="9"/>
    </row>
    <row r="493" spans="1:15" x14ac:dyDescent="0.25">
      <c r="A493" s="9"/>
      <c r="B493" s="9"/>
      <c r="C493" s="9"/>
      <c r="D493" s="9"/>
      <c r="M493" s="9"/>
      <c r="N493" s="9"/>
      <c r="O493" s="9"/>
    </row>
    <row r="494" spans="1:15" x14ac:dyDescent="0.25">
      <c r="A494" s="9"/>
      <c r="B494" s="9"/>
      <c r="C494" s="9"/>
      <c r="D494" s="9"/>
      <c r="M494" s="9"/>
      <c r="N494" s="9"/>
      <c r="O494" s="9"/>
    </row>
    <row r="495" spans="1:15" x14ac:dyDescent="0.25">
      <c r="A495" s="9"/>
      <c r="B495" s="9"/>
      <c r="C495" s="9"/>
      <c r="D495" s="9"/>
      <c r="M495" s="9"/>
      <c r="N495" s="9"/>
      <c r="O495" s="9"/>
    </row>
    <row r="496" spans="1:15" x14ac:dyDescent="0.25">
      <c r="A496" s="9"/>
      <c r="B496" s="9"/>
      <c r="C496" s="9"/>
      <c r="D496" s="9"/>
      <c r="M496" s="9"/>
      <c r="N496" s="9"/>
      <c r="O496" s="9"/>
    </row>
    <row r="497" spans="1:15" x14ac:dyDescent="0.25">
      <c r="A497" s="9"/>
      <c r="B497" s="9"/>
      <c r="C497" s="9"/>
      <c r="D497" s="9"/>
      <c r="M497" s="9"/>
      <c r="N497" s="9"/>
      <c r="O497" s="9"/>
    </row>
    <row r="498" spans="1:15" x14ac:dyDescent="0.25">
      <c r="A498" s="9"/>
      <c r="B498" s="9"/>
      <c r="C498" s="9"/>
      <c r="D498" s="9"/>
      <c r="M498" s="9"/>
      <c r="N498" s="9"/>
      <c r="O498" s="9"/>
    </row>
    <row r="499" spans="1:15" x14ac:dyDescent="0.25">
      <c r="A499" s="9"/>
      <c r="B499" s="9"/>
      <c r="C499" s="9"/>
      <c r="D499" s="9"/>
      <c r="M499" s="9"/>
      <c r="N499" s="9"/>
      <c r="O499" s="9"/>
    </row>
    <row r="500" spans="1:15" x14ac:dyDescent="0.25">
      <c r="A500" s="9"/>
      <c r="B500" s="9"/>
      <c r="C500" s="9"/>
      <c r="D500" s="9"/>
      <c r="M500" s="9"/>
      <c r="N500" s="9"/>
      <c r="O500" s="9"/>
    </row>
    <row r="501" spans="1:15" x14ac:dyDescent="0.25">
      <c r="A501" s="9"/>
      <c r="B501" s="9"/>
      <c r="C501" s="9"/>
      <c r="D501" s="9"/>
      <c r="M501" s="9"/>
      <c r="N501" s="9"/>
      <c r="O501" s="9"/>
    </row>
    <row r="502" spans="1:15" x14ac:dyDescent="0.25">
      <c r="A502" s="9"/>
      <c r="B502" s="9"/>
      <c r="C502" s="9"/>
      <c r="D502" s="9"/>
      <c r="M502" s="9"/>
      <c r="N502" s="9"/>
      <c r="O502" s="9"/>
    </row>
    <row r="503" spans="1:15" x14ac:dyDescent="0.25">
      <c r="A503" s="9"/>
      <c r="B503" s="9"/>
      <c r="C503" s="9"/>
      <c r="D503" s="9"/>
      <c r="M503" s="9"/>
      <c r="N503" s="9"/>
      <c r="O503" s="9"/>
    </row>
    <row r="504" spans="1:15" x14ac:dyDescent="0.25">
      <c r="A504" s="9"/>
      <c r="B504" s="9"/>
      <c r="C504" s="9"/>
      <c r="D504" s="9"/>
      <c r="M504" s="9"/>
      <c r="N504" s="9"/>
      <c r="O504" s="9"/>
    </row>
    <row r="505" spans="1:15" x14ac:dyDescent="0.25">
      <c r="A505" s="9"/>
      <c r="B505" s="9"/>
      <c r="C505" s="9"/>
      <c r="D505" s="9"/>
      <c r="M505" s="9"/>
      <c r="N505" s="9"/>
      <c r="O505" s="9"/>
    </row>
    <row r="506" spans="1:15" x14ac:dyDescent="0.25">
      <c r="A506" s="9"/>
      <c r="B506" s="9"/>
      <c r="C506" s="9"/>
      <c r="D506" s="9"/>
      <c r="M506" s="9"/>
      <c r="N506" s="9"/>
      <c r="O506" s="9"/>
    </row>
    <row r="507" spans="1:15" x14ac:dyDescent="0.25">
      <c r="A507" s="9"/>
      <c r="B507" s="9"/>
      <c r="C507" s="9"/>
      <c r="D507" s="9"/>
      <c r="M507" s="9"/>
      <c r="N507" s="9"/>
      <c r="O507" s="9"/>
    </row>
    <row r="508" spans="1:15" x14ac:dyDescent="0.25">
      <c r="A508" s="9"/>
      <c r="B508" s="9"/>
      <c r="C508" s="9"/>
      <c r="D508" s="9"/>
      <c r="M508" s="9"/>
      <c r="N508" s="9"/>
      <c r="O508" s="9"/>
    </row>
  </sheetData>
  <autoFilter ref="A4:AE365" xr:uid="{856FF2B1-4B9D-480A-99BA-BE85F7BC4FD6}">
    <filterColumn colId="13">
      <filters>
        <filter val="BELONGS TO UNIQUE GROUP"/>
        <filter val="MISSING"/>
        <filter val="UNIQUE GROUP AS PER"/>
        <filter val="UNIQUE GROUP AS PER D365"/>
      </filters>
    </filterColumn>
  </autoFilter>
  <mergeCells count="16">
    <mergeCell ref="A453:O453"/>
    <mergeCell ref="A463:O463"/>
    <mergeCell ref="A401:O401"/>
    <mergeCell ref="A407:O407"/>
    <mergeCell ref="A417:O417"/>
    <mergeCell ref="A421:O421"/>
    <mergeCell ref="A432:O432"/>
    <mergeCell ref="A368:O368"/>
    <mergeCell ref="A379:XFD379"/>
    <mergeCell ref="A380:O380"/>
    <mergeCell ref="A397:O397"/>
    <mergeCell ref="A1:L1"/>
    <mergeCell ref="A2:L2"/>
    <mergeCell ref="F3:H3"/>
    <mergeCell ref="I3:K3"/>
    <mergeCell ref="A367:O36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E560-415B-47CC-B218-AD1CDFF020AF}">
  <dimension ref="A3:M139"/>
  <sheetViews>
    <sheetView topLeftCell="A118" zoomScale="115" zoomScaleNormal="115" workbookViewId="0">
      <selection activeCell="B83" sqref="B83"/>
    </sheetView>
  </sheetViews>
  <sheetFormatPr defaultRowHeight="15" x14ac:dyDescent="0.25"/>
  <cols>
    <col min="1" max="1" width="15.28515625" bestFit="1" customWidth="1"/>
    <col min="2" max="2" width="32.140625" bestFit="1" customWidth="1"/>
    <col min="3" max="3" width="13.42578125" bestFit="1" customWidth="1"/>
    <col min="4" max="4" width="13.7109375" bestFit="1" customWidth="1"/>
    <col min="5" max="5" width="8.7109375" bestFit="1" customWidth="1"/>
    <col min="6" max="6" width="9.42578125" bestFit="1" customWidth="1"/>
    <col min="7" max="7" width="12.7109375" bestFit="1" customWidth="1"/>
    <col min="8" max="8" width="19.7109375" bestFit="1" customWidth="1"/>
    <col min="9" max="9" width="16" bestFit="1" customWidth="1"/>
    <col min="10" max="10" width="8.7109375" bestFit="1" customWidth="1"/>
    <col min="11" max="11" width="18.28515625" bestFit="1" customWidth="1"/>
    <col min="12" max="12" width="9.85546875" bestFit="1" customWidth="1"/>
    <col min="13" max="13" width="10.140625" bestFit="1" customWidth="1"/>
  </cols>
  <sheetData>
    <row r="3" spans="1:13" x14ac:dyDescent="0.25">
      <c r="A3" s="14" t="s">
        <v>4</v>
      </c>
      <c r="B3" s="14" t="s">
        <v>7</v>
      </c>
      <c r="C3" s="14" t="s">
        <v>8</v>
      </c>
      <c r="D3" s="14" t="s">
        <v>583</v>
      </c>
      <c r="E3" s="14" t="s">
        <v>584</v>
      </c>
      <c r="F3" s="14" t="s">
        <v>585</v>
      </c>
      <c r="G3" s="14" t="s">
        <v>9</v>
      </c>
      <c r="H3" s="14" t="s">
        <v>586</v>
      </c>
      <c r="I3" s="14" t="s">
        <v>587</v>
      </c>
      <c r="J3" s="14" t="s">
        <v>588</v>
      </c>
      <c r="K3" s="14" t="s">
        <v>10</v>
      </c>
      <c r="L3" s="14" t="s">
        <v>11</v>
      </c>
      <c r="M3" s="14" t="s">
        <v>589</v>
      </c>
    </row>
    <row r="4" spans="1:13" x14ac:dyDescent="0.25">
      <c r="A4" s="15" t="s">
        <v>590</v>
      </c>
      <c r="B4" s="16" t="s">
        <v>591</v>
      </c>
      <c r="C4" s="17">
        <v>42004</v>
      </c>
      <c r="D4" s="18">
        <v>3811.85</v>
      </c>
      <c r="E4" s="19">
        <v>0</v>
      </c>
      <c r="F4" s="19">
        <v>0</v>
      </c>
      <c r="G4" s="19">
        <v>3811.85</v>
      </c>
      <c r="H4" s="18">
        <v>-3811.85</v>
      </c>
      <c r="I4" s="19">
        <v>0</v>
      </c>
      <c r="J4" s="18">
        <v>0</v>
      </c>
      <c r="K4" s="19">
        <v>-3811.85</v>
      </c>
      <c r="L4" s="19">
        <v>0</v>
      </c>
      <c r="M4" s="16" t="s">
        <v>16</v>
      </c>
    </row>
    <row r="5" spans="1:13" x14ac:dyDescent="0.25">
      <c r="A5" s="15" t="s">
        <v>592</v>
      </c>
      <c r="B5" s="16" t="s">
        <v>593</v>
      </c>
      <c r="C5" s="17">
        <v>42004</v>
      </c>
      <c r="D5" s="18">
        <v>3103.93</v>
      </c>
      <c r="E5" s="19">
        <v>0</v>
      </c>
      <c r="F5" s="19">
        <v>0</v>
      </c>
      <c r="G5" s="19">
        <v>3103.93</v>
      </c>
      <c r="H5" s="18">
        <v>-3103.93</v>
      </c>
      <c r="I5" s="19">
        <v>0</v>
      </c>
      <c r="J5" s="18">
        <v>0</v>
      </c>
      <c r="K5" s="19">
        <v>-3103.93</v>
      </c>
      <c r="L5" s="19">
        <v>0</v>
      </c>
      <c r="M5" s="16" t="s">
        <v>16</v>
      </c>
    </row>
    <row r="6" spans="1:13" x14ac:dyDescent="0.25">
      <c r="A6" s="15" t="s">
        <v>594</v>
      </c>
      <c r="B6" s="16" t="s">
        <v>595</v>
      </c>
      <c r="C6" s="17">
        <v>42004</v>
      </c>
      <c r="D6" s="18">
        <v>11990</v>
      </c>
      <c r="E6" s="19">
        <v>0</v>
      </c>
      <c r="F6" s="19">
        <v>0</v>
      </c>
      <c r="G6" s="19">
        <v>11990</v>
      </c>
      <c r="H6" s="18">
        <v>-11990</v>
      </c>
      <c r="I6" s="19">
        <v>0</v>
      </c>
      <c r="J6" s="18">
        <v>0</v>
      </c>
      <c r="K6" s="19">
        <v>-11990</v>
      </c>
      <c r="L6" s="19">
        <v>0</v>
      </c>
      <c r="M6" s="16" t="s">
        <v>16</v>
      </c>
    </row>
    <row r="7" spans="1:13" x14ac:dyDescent="0.25">
      <c r="A7" s="15" t="s">
        <v>596</v>
      </c>
      <c r="B7" s="16" t="s">
        <v>597</v>
      </c>
      <c r="C7" s="17">
        <v>42004</v>
      </c>
      <c r="D7" s="18">
        <v>4500</v>
      </c>
      <c r="E7" s="19">
        <v>0</v>
      </c>
      <c r="F7" s="19">
        <v>0</v>
      </c>
      <c r="G7" s="19">
        <v>4500</v>
      </c>
      <c r="H7" s="18">
        <v>-4500</v>
      </c>
      <c r="I7" s="19">
        <v>0</v>
      </c>
      <c r="J7" s="18">
        <v>0</v>
      </c>
      <c r="K7" s="19">
        <v>-4500</v>
      </c>
      <c r="L7" s="19">
        <v>0</v>
      </c>
      <c r="M7" s="16" t="s">
        <v>16</v>
      </c>
    </row>
    <row r="8" spans="1:13" x14ac:dyDescent="0.25">
      <c r="A8" s="15" t="s">
        <v>598</v>
      </c>
      <c r="B8" s="16" t="s">
        <v>599</v>
      </c>
      <c r="C8" s="17">
        <v>42217</v>
      </c>
      <c r="D8" s="18">
        <v>1999</v>
      </c>
      <c r="E8" s="19">
        <v>0</v>
      </c>
      <c r="F8" s="19">
        <v>0</v>
      </c>
      <c r="G8" s="19">
        <v>1999</v>
      </c>
      <c r="H8" s="18">
        <v>-1999</v>
      </c>
      <c r="I8" s="19">
        <v>0</v>
      </c>
      <c r="J8" s="18">
        <v>0</v>
      </c>
      <c r="K8" s="19">
        <v>-1999</v>
      </c>
      <c r="L8" s="19">
        <v>0</v>
      </c>
      <c r="M8" s="16" t="s">
        <v>16</v>
      </c>
    </row>
    <row r="9" spans="1:13" x14ac:dyDescent="0.25">
      <c r="A9" s="15" t="s">
        <v>600</v>
      </c>
      <c r="B9" s="16" t="s">
        <v>601</v>
      </c>
      <c r="C9" s="17">
        <v>42401</v>
      </c>
      <c r="D9" s="18">
        <v>3450</v>
      </c>
      <c r="E9" s="19">
        <v>0</v>
      </c>
      <c r="F9" s="19">
        <v>0</v>
      </c>
      <c r="G9" s="19">
        <v>3450</v>
      </c>
      <c r="H9" s="18">
        <v>-3450</v>
      </c>
      <c r="I9" s="19">
        <v>0</v>
      </c>
      <c r="J9" s="18">
        <v>0</v>
      </c>
      <c r="K9" s="19">
        <v>-3450</v>
      </c>
      <c r="L9" s="19">
        <v>0</v>
      </c>
      <c r="M9" s="16" t="s">
        <v>16</v>
      </c>
    </row>
    <row r="10" spans="1:13" x14ac:dyDescent="0.25">
      <c r="A10" s="15" t="s">
        <v>602</v>
      </c>
      <c r="B10" s="16" t="s">
        <v>603</v>
      </c>
      <c r="C10" s="17">
        <v>43564</v>
      </c>
      <c r="D10" s="18">
        <v>-16921</v>
      </c>
      <c r="E10" s="19">
        <v>0</v>
      </c>
      <c r="F10" s="19">
        <v>0</v>
      </c>
      <c r="G10" s="19">
        <v>-16920</v>
      </c>
      <c r="H10" s="18">
        <v>16920</v>
      </c>
      <c r="I10" s="19">
        <v>0</v>
      </c>
      <c r="J10" s="18">
        <v>0</v>
      </c>
      <c r="K10" s="18">
        <v>16920</v>
      </c>
      <c r="L10" s="19">
        <v>1</v>
      </c>
      <c r="M10" s="16" t="s">
        <v>16</v>
      </c>
    </row>
    <row r="11" spans="1:13" x14ac:dyDescent="0.25">
      <c r="A11" s="15" t="s">
        <v>604</v>
      </c>
      <c r="B11" s="16" t="s">
        <v>605</v>
      </c>
      <c r="C11" s="17">
        <v>43564</v>
      </c>
      <c r="D11" s="18">
        <v>0</v>
      </c>
      <c r="E11" s="19">
        <v>0</v>
      </c>
      <c r="F11" s="19">
        <v>0</v>
      </c>
      <c r="G11" s="19">
        <v>0</v>
      </c>
      <c r="H11" s="18">
        <v>0</v>
      </c>
      <c r="I11" s="19">
        <v>0</v>
      </c>
      <c r="J11" s="18">
        <v>0</v>
      </c>
      <c r="K11" s="19">
        <v>0</v>
      </c>
      <c r="L11" s="19">
        <v>0</v>
      </c>
      <c r="M11" s="16" t="s">
        <v>16</v>
      </c>
    </row>
    <row r="12" spans="1:13" x14ac:dyDescent="0.25">
      <c r="A12" s="15" t="s">
        <v>606</v>
      </c>
      <c r="B12" s="16" t="s">
        <v>605</v>
      </c>
      <c r="C12" s="17">
        <v>43564</v>
      </c>
      <c r="D12" s="18">
        <v>0</v>
      </c>
      <c r="E12" s="19">
        <v>0</v>
      </c>
      <c r="F12" s="19">
        <v>0</v>
      </c>
      <c r="G12" s="19">
        <v>0</v>
      </c>
      <c r="H12" s="18">
        <v>0</v>
      </c>
      <c r="I12" s="19">
        <v>0</v>
      </c>
      <c r="J12" s="18">
        <v>0</v>
      </c>
      <c r="K12" s="19">
        <v>0</v>
      </c>
      <c r="L12" s="19">
        <v>0</v>
      </c>
      <c r="M12" s="16" t="s">
        <v>16</v>
      </c>
    </row>
    <row r="13" spans="1:13" x14ac:dyDescent="0.25">
      <c r="A13" s="15" t="s">
        <v>607</v>
      </c>
      <c r="B13" s="16" t="s">
        <v>608</v>
      </c>
      <c r="C13" s="17">
        <v>42004</v>
      </c>
      <c r="D13" s="18">
        <v>89950</v>
      </c>
      <c r="E13" s="19">
        <v>0</v>
      </c>
      <c r="F13" s="19">
        <v>0</v>
      </c>
      <c r="G13" s="19">
        <v>89950</v>
      </c>
      <c r="H13" s="18">
        <v>-89950</v>
      </c>
      <c r="I13" s="19">
        <v>0</v>
      </c>
      <c r="J13" s="18">
        <v>0</v>
      </c>
      <c r="K13" s="19">
        <v>-89950</v>
      </c>
      <c r="L13" s="19">
        <v>0</v>
      </c>
      <c r="M13" s="16" t="s">
        <v>44</v>
      </c>
    </row>
    <row r="14" spans="1:13" x14ac:dyDescent="0.25">
      <c r="A14" s="15" t="s">
        <v>609</v>
      </c>
      <c r="B14" s="16" t="s">
        <v>610</v>
      </c>
      <c r="C14" s="17">
        <v>42004</v>
      </c>
      <c r="D14" s="18">
        <v>8295</v>
      </c>
      <c r="E14" s="19">
        <v>0</v>
      </c>
      <c r="F14" s="19">
        <v>0</v>
      </c>
      <c r="G14" s="19">
        <v>8295</v>
      </c>
      <c r="H14" s="18">
        <v>-8295</v>
      </c>
      <c r="I14" s="19">
        <v>0</v>
      </c>
      <c r="J14" s="18">
        <v>0</v>
      </c>
      <c r="K14" s="19">
        <v>-8295</v>
      </c>
      <c r="L14" s="19">
        <v>0</v>
      </c>
      <c r="M14" s="16" t="s">
        <v>44</v>
      </c>
    </row>
    <row r="15" spans="1:13" x14ac:dyDescent="0.25">
      <c r="A15" s="15" t="s">
        <v>611</v>
      </c>
      <c r="B15" s="16" t="s">
        <v>612</v>
      </c>
      <c r="C15" s="17">
        <v>42226</v>
      </c>
      <c r="D15" s="18">
        <v>0</v>
      </c>
      <c r="E15" s="19">
        <v>0</v>
      </c>
      <c r="F15" s="19">
        <v>0</v>
      </c>
      <c r="G15" s="19">
        <v>0</v>
      </c>
      <c r="H15" s="18">
        <v>0</v>
      </c>
      <c r="I15" s="19">
        <v>0</v>
      </c>
      <c r="J15" s="18">
        <v>0</v>
      </c>
      <c r="K15" s="19">
        <v>0</v>
      </c>
      <c r="L15" s="19">
        <v>0</v>
      </c>
      <c r="M15" s="16" t="s">
        <v>59</v>
      </c>
    </row>
    <row r="16" spans="1:13" x14ac:dyDescent="0.25">
      <c r="A16" s="15" t="s">
        <v>613</v>
      </c>
      <c r="B16" s="16" t="s">
        <v>614</v>
      </c>
      <c r="C16" s="17">
        <v>42226</v>
      </c>
      <c r="D16" s="18">
        <v>0</v>
      </c>
      <c r="E16" s="19">
        <v>0</v>
      </c>
      <c r="F16" s="19">
        <v>0</v>
      </c>
      <c r="G16" s="19">
        <v>0</v>
      </c>
      <c r="H16" s="18">
        <v>0</v>
      </c>
      <c r="I16" s="19">
        <v>0</v>
      </c>
      <c r="J16" s="18">
        <v>0</v>
      </c>
      <c r="K16" s="19">
        <v>0</v>
      </c>
      <c r="L16" s="19">
        <v>0</v>
      </c>
      <c r="M16" s="16" t="s">
        <v>59</v>
      </c>
    </row>
    <row r="17" spans="1:13" x14ac:dyDescent="0.25">
      <c r="A17" s="15" t="s">
        <v>615</v>
      </c>
      <c r="B17" s="16" t="s">
        <v>612</v>
      </c>
      <c r="C17" s="17">
        <v>42226</v>
      </c>
      <c r="D17" s="18">
        <v>0</v>
      </c>
      <c r="E17" s="19">
        <v>0</v>
      </c>
      <c r="F17" s="19">
        <v>0</v>
      </c>
      <c r="G17" s="19">
        <v>0</v>
      </c>
      <c r="H17" s="18">
        <v>0</v>
      </c>
      <c r="I17" s="19">
        <v>0</v>
      </c>
      <c r="J17" s="18">
        <v>0</v>
      </c>
      <c r="K17" s="19">
        <v>0</v>
      </c>
      <c r="L17" s="19">
        <v>0</v>
      </c>
      <c r="M17" s="16" t="s">
        <v>59</v>
      </c>
    </row>
    <row r="18" spans="1:13" x14ac:dyDescent="0.25">
      <c r="A18" s="15" t="s">
        <v>616</v>
      </c>
      <c r="B18" s="16" t="s">
        <v>617</v>
      </c>
      <c r="C18" s="17">
        <v>42226</v>
      </c>
      <c r="D18" s="18">
        <v>0</v>
      </c>
      <c r="E18" s="19">
        <v>0</v>
      </c>
      <c r="F18" s="19">
        <v>0</v>
      </c>
      <c r="G18" s="19">
        <v>0</v>
      </c>
      <c r="H18" s="18">
        <v>0</v>
      </c>
      <c r="I18" s="19">
        <v>0</v>
      </c>
      <c r="J18" s="18">
        <v>0</v>
      </c>
      <c r="K18" s="19">
        <v>0</v>
      </c>
      <c r="L18" s="19">
        <v>0</v>
      </c>
      <c r="M18" s="16" t="s">
        <v>59</v>
      </c>
    </row>
    <row r="19" spans="1:13" x14ac:dyDescent="0.25">
      <c r="A19" s="15" t="s">
        <v>618</v>
      </c>
      <c r="B19" s="16" t="s">
        <v>617</v>
      </c>
      <c r="C19" s="17">
        <v>42226</v>
      </c>
      <c r="D19" s="18">
        <v>0</v>
      </c>
      <c r="E19" s="19">
        <v>0</v>
      </c>
      <c r="F19" s="19">
        <v>0</v>
      </c>
      <c r="G19" s="19">
        <v>0</v>
      </c>
      <c r="H19" s="18">
        <v>0</v>
      </c>
      <c r="I19" s="19">
        <v>0</v>
      </c>
      <c r="J19" s="18">
        <v>0</v>
      </c>
      <c r="K19" s="19">
        <v>0</v>
      </c>
      <c r="L19" s="19">
        <v>0</v>
      </c>
      <c r="M19" s="16" t="s">
        <v>59</v>
      </c>
    </row>
    <row r="20" spans="1:13" x14ac:dyDescent="0.25">
      <c r="A20" s="15" t="s">
        <v>619</v>
      </c>
      <c r="B20" s="16" t="s">
        <v>620</v>
      </c>
      <c r="C20" s="17">
        <v>42226</v>
      </c>
      <c r="D20" s="18">
        <v>0</v>
      </c>
      <c r="E20" s="19">
        <v>0</v>
      </c>
      <c r="F20" s="19">
        <v>0</v>
      </c>
      <c r="G20" s="19">
        <v>0</v>
      </c>
      <c r="H20" s="18">
        <v>0</v>
      </c>
      <c r="I20" s="19">
        <v>0</v>
      </c>
      <c r="J20" s="18">
        <v>0</v>
      </c>
      <c r="K20" s="19">
        <v>0</v>
      </c>
      <c r="L20" s="19">
        <v>0</v>
      </c>
      <c r="M20" s="16" t="s">
        <v>59</v>
      </c>
    </row>
    <row r="21" spans="1:13" x14ac:dyDescent="0.25">
      <c r="A21" s="15" t="s">
        <v>621</v>
      </c>
      <c r="B21" s="16" t="s">
        <v>622</v>
      </c>
      <c r="C21" s="17">
        <v>42226</v>
      </c>
      <c r="D21" s="18">
        <v>0</v>
      </c>
      <c r="E21" s="19">
        <v>0</v>
      </c>
      <c r="F21" s="19">
        <v>0</v>
      </c>
      <c r="G21" s="19">
        <v>0</v>
      </c>
      <c r="H21" s="18">
        <v>0</v>
      </c>
      <c r="I21" s="19">
        <v>0</v>
      </c>
      <c r="J21" s="18">
        <v>0</v>
      </c>
      <c r="K21" s="19">
        <v>0</v>
      </c>
      <c r="L21" s="19">
        <v>0</v>
      </c>
      <c r="M21" s="16" t="s">
        <v>59</v>
      </c>
    </row>
    <row r="22" spans="1:13" x14ac:dyDescent="0.25">
      <c r="A22" s="15" t="s">
        <v>623</v>
      </c>
      <c r="B22" s="16" t="s">
        <v>624</v>
      </c>
      <c r="C22" s="17">
        <v>42226</v>
      </c>
      <c r="D22" s="18">
        <v>0</v>
      </c>
      <c r="E22" s="19">
        <v>0</v>
      </c>
      <c r="F22" s="19">
        <v>0</v>
      </c>
      <c r="G22" s="19">
        <v>0</v>
      </c>
      <c r="H22" s="18">
        <v>0</v>
      </c>
      <c r="I22" s="19">
        <v>0</v>
      </c>
      <c r="J22" s="18">
        <v>0</v>
      </c>
      <c r="K22" s="19">
        <v>0</v>
      </c>
      <c r="L22" s="19">
        <v>0</v>
      </c>
      <c r="M22" s="16" t="s">
        <v>59</v>
      </c>
    </row>
    <row r="23" spans="1:13" x14ac:dyDescent="0.25">
      <c r="A23" s="15" t="s">
        <v>625</v>
      </c>
      <c r="B23" s="16" t="s">
        <v>626</v>
      </c>
      <c r="C23" s="17">
        <v>42226</v>
      </c>
      <c r="D23" s="18">
        <v>0</v>
      </c>
      <c r="E23" s="19">
        <v>0</v>
      </c>
      <c r="F23" s="19">
        <v>0</v>
      </c>
      <c r="G23" s="19">
        <v>0</v>
      </c>
      <c r="H23" s="18">
        <v>0</v>
      </c>
      <c r="I23" s="19">
        <v>0</v>
      </c>
      <c r="J23" s="18">
        <v>0</v>
      </c>
      <c r="K23" s="19">
        <v>0</v>
      </c>
      <c r="L23" s="19">
        <v>0</v>
      </c>
      <c r="M23" s="16" t="s">
        <v>59</v>
      </c>
    </row>
    <row r="24" spans="1:13" x14ac:dyDescent="0.25">
      <c r="A24" s="15" t="s">
        <v>627</v>
      </c>
      <c r="B24" s="16" t="s">
        <v>628</v>
      </c>
      <c r="C24" s="17">
        <v>42226</v>
      </c>
      <c r="D24" s="18">
        <v>0</v>
      </c>
      <c r="E24" s="19">
        <v>0</v>
      </c>
      <c r="F24" s="19">
        <v>0</v>
      </c>
      <c r="G24" s="19">
        <v>0</v>
      </c>
      <c r="H24" s="18">
        <v>0</v>
      </c>
      <c r="I24" s="19">
        <v>0</v>
      </c>
      <c r="J24" s="18">
        <v>0</v>
      </c>
      <c r="K24" s="19">
        <v>0</v>
      </c>
      <c r="L24" s="19">
        <v>0</v>
      </c>
      <c r="M24" s="16" t="s">
        <v>59</v>
      </c>
    </row>
    <row r="25" spans="1:13" x14ac:dyDescent="0.25">
      <c r="A25" s="15" t="s">
        <v>629</v>
      </c>
      <c r="B25" s="16" t="s">
        <v>630</v>
      </c>
      <c r="C25" s="17">
        <v>42226</v>
      </c>
      <c r="D25" s="18">
        <v>0</v>
      </c>
      <c r="E25" s="19">
        <v>0</v>
      </c>
      <c r="F25" s="19">
        <v>0</v>
      </c>
      <c r="G25" s="19">
        <v>0</v>
      </c>
      <c r="H25" s="18">
        <v>0</v>
      </c>
      <c r="I25" s="19">
        <v>0</v>
      </c>
      <c r="J25" s="18">
        <v>0</v>
      </c>
      <c r="K25" s="19">
        <v>0</v>
      </c>
      <c r="L25" s="19">
        <v>0</v>
      </c>
      <c r="M25" s="16" t="s">
        <v>59</v>
      </c>
    </row>
    <row r="26" spans="1:13" x14ac:dyDescent="0.25">
      <c r="A26" s="15" t="s">
        <v>631</v>
      </c>
      <c r="B26" s="16" t="s">
        <v>632</v>
      </c>
      <c r="C26" s="17">
        <v>42339</v>
      </c>
      <c r="D26" s="18">
        <v>6574.27</v>
      </c>
      <c r="E26" s="19">
        <v>0</v>
      </c>
      <c r="F26" s="19">
        <v>0</v>
      </c>
      <c r="G26" s="19">
        <v>6574.27</v>
      </c>
      <c r="H26" s="18">
        <v>-6573.27</v>
      </c>
      <c r="I26" s="19">
        <v>0</v>
      </c>
      <c r="J26" s="18">
        <v>0</v>
      </c>
      <c r="K26" s="19">
        <v>-6573.27</v>
      </c>
      <c r="L26" s="19">
        <v>1</v>
      </c>
      <c r="M26" s="16" t="s">
        <v>59</v>
      </c>
    </row>
    <row r="27" spans="1:13" x14ac:dyDescent="0.25">
      <c r="A27" s="15" t="s">
        <v>633</v>
      </c>
      <c r="B27" s="16" t="s">
        <v>634</v>
      </c>
      <c r="C27" s="17">
        <v>42339</v>
      </c>
      <c r="D27" s="18">
        <v>2817.54</v>
      </c>
      <c r="E27" s="19">
        <v>0</v>
      </c>
      <c r="F27" s="19">
        <v>0</v>
      </c>
      <c r="G27" s="19">
        <v>2817.54</v>
      </c>
      <c r="H27" s="18">
        <v>-2816.54</v>
      </c>
      <c r="I27" s="19">
        <v>0</v>
      </c>
      <c r="J27" s="18">
        <v>0</v>
      </c>
      <c r="K27" s="19">
        <v>-2816.54</v>
      </c>
      <c r="L27" s="19">
        <v>1</v>
      </c>
      <c r="M27" s="16" t="s">
        <v>59</v>
      </c>
    </row>
    <row r="28" spans="1:13" x14ac:dyDescent="0.25">
      <c r="A28" s="15" t="s">
        <v>635</v>
      </c>
      <c r="B28" s="16" t="s">
        <v>636</v>
      </c>
      <c r="C28" s="17">
        <v>42339</v>
      </c>
      <c r="D28" s="18">
        <v>0</v>
      </c>
      <c r="E28" s="19">
        <v>0</v>
      </c>
      <c r="F28" s="19">
        <v>0</v>
      </c>
      <c r="G28" s="19">
        <v>0</v>
      </c>
      <c r="H28" s="18">
        <v>0</v>
      </c>
      <c r="I28" s="19">
        <v>0</v>
      </c>
      <c r="J28" s="18">
        <v>0</v>
      </c>
      <c r="K28" s="19">
        <v>0</v>
      </c>
      <c r="L28" s="19">
        <v>0</v>
      </c>
      <c r="M28" s="16" t="s">
        <v>59</v>
      </c>
    </row>
    <row r="29" spans="1:13" x14ac:dyDescent="0.25">
      <c r="A29" s="15" t="s">
        <v>637</v>
      </c>
      <c r="B29" s="16" t="s">
        <v>634</v>
      </c>
      <c r="C29" s="17">
        <v>42339</v>
      </c>
      <c r="D29" s="18">
        <v>0</v>
      </c>
      <c r="E29" s="19">
        <v>0</v>
      </c>
      <c r="F29" s="19">
        <v>0</v>
      </c>
      <c r="G29" s="19">
        <v>0</v>
      </c>
      <c r="H29" s="18">
        <v>0</v>
      </c>
      <c r="I29" s="19">
        <v>0</v>
      </c>
      <c r="J29" s="18">
        <v>0</v>
      </c>
      <c r="K29" s="19">
        <v>0</v>
      </c>
      <c r="L29" s="19">
        <v>0</v>
      </c>
      <c r="M29" s="16" t="s">
        <v>59</v>
      </c>
    </row>
    <row r="30" spans="1:13" x14ac:dyDescent="0.25">
      <c r="A30" s="15" t="s">
        <v>638</v>
      </c>
      <c r="B30" s="16" t="s">
        <v>639</v>
      </c>
      <c r="C30" s="17">
        <v>42339</v>
      </c>
      <c r="D30" s="18">
        <v>33320.5</v>
      </c>
      <c r="E30" s="19">
        <v>0</v>
      </c>
      <c r="F30" s="19">
        <v>0</v>
      </c>
      <c r="G30" s="19">
        <v>33320.5</v>
      </c>
      <c r="H30" s="18">
        <v>-33319.5</v>
      </c>
      <c r="I30" s="19">
        <v>0</v>
      </c>
      <c r="J30" s="18">
        <v>0</v>
      </c>
      <c r="K30" s="19">
        <v>-33319.5</v>
      </c>
      <c r="L30" s="19">
        <v>1</v>
      </c>
      <c r="M30" s="16" t="s">
        <v>59</v>
      </c>
    </row>
    <row r="31" spans="1:13" x14ac:dyDescent="0.25">
      <c r="A31" s="15" t="s">
        <v>640</v>
      </c>
      <c r="B31" s="16" t="s">
        <v>639</v>
      </c>
      <c r="C31" s="17">
        <v>42339</v>
      </c>
      <c r="D31" s="18">
        <v>0</v>
      </c>
      <c r="E31" s="19">
        <v>0</v>
      </c>
      <c r="F31" s="19">
        <v>0</v>
      </c>
      <c r="G31" s="19">
        <v>0</v>
      </c>
      <c r="H31" s="18">
        <v>0</v>
      </c>
      <c r="I31" s="19">
        <v>0</v>
      </c>
      <c r="J31" s="18">
        <v>0</v>
      </c>
      <c r="K31" s="19">
        <v>0</v>
      </c>
      <c r="L31" s="19">
        <v>0</v>
      </c>
      <c r="M31" s="16" t="s">
        <v>59</v>
      </c>
    </row>
    <row r="32" spans="1:13" x14ac:dyDescent="0.25">
      <c r="A32" s="15" t="s">
        <v>641</v>
      </c>
      <c r="B32" s="16" t="s">
        <v>642</v>
      </c>
      <c r="C32" s="17">
        <v>42339</v>
      </c>
      <c r="D32" s="18">
        <v>11072.22</v>
      </c>
      <c r="E32" s="19">
        <v>0</v>
      </c>
      <c r="F32" s="19">
        <v>0</v>
      </c>
      <c r="G32" s="19">
        <v>11072.22</v>
      </c>
      <c r="H32" s="18">
        <v>-11071.22</v>
      </c>
      <c r="I32" s="19">
        <v>0</v>
      </c>
      <c r="J32" s="18">
        <v>0</v>
      </c>
      <c r="K32" s="19">
        <v>-11071.22</v>
      </c>
      <c r="L32" s="19">
        <v>1</v>
      </c>
      <c r="M32" s="16" t="s">
        <v>59</v>
      </c>
    </row>
    <row r="33" spans="1:13" x14ac:dyDescent="0.25">
      <c r="A33" s="15" t="s">
        <v>643</v>
      </c>
      <c r="B33" s="16" t="s">
        <v>634</v>
      </c>
      <c r="C33" s="17">
        <v>42339</v>
      </c>
      <c r="D33" s="18">
        <v>2900.08</v>
      </c>
      <c r="E33" s="19">
        <v>0</v>
      </c>
      <c r="F33" s="19">
        <v>0</v>
      </c>
      <c r="G33" s="19">
        <v>2900.08</v>
      </c>
      <c r="H33" s="18">
        <v>-2899.08</v>
      </c>
      <c r="I33" s="19">
        <v>0</v>
      </c>
      <c r="J33" s="18">
        <v>0</v>
      </c>
      <c r="K33" s="19">
        <v>-2899.08</v>
      </c>
      <c r="L33" s="19">
        <v>1</v>
      </c>
      <c r="M33" s="16" t="s">
        <v>59</v>
      </c>
    </row>
    <row r="34" spans="1:13" x14ac:dyDescent="0.25">
      <c r="A34" s="15" t="s">
        <v>644</v>
      </c>
      <c r="B34" s="16" t="s">
        <v>645</v>
      </c>
      <c r="C34" s="17">
        <v>42339</v>
      </c>
      <c r="D34" s="18">
        <v>11600.3</v>
      </c>
      <c r="E34" s="19">
        <v>0</v>
      </c>
      <c r="F34" s="19">
        <v>0</v>
      </c>
      <c r="G34" s="19">
        <v>11600.3</v>
      </c>
      <c r="H34" s="18">
        <v>-11599.3</v>
      </c>
      <c r="I34" s="19">
        <v>0</v>
      </c>
      <c r="J34" s="18">
        <v>0</v>
      </c>
      <c r="K34" s="19">
        <v>-11599.3</v>
      </c>
      <c r="L34" s="19">
        <v>1</v>
      </c>
      <c r="M34" s="16" t="s">
        <v>59</v>
      </c>
    </row>
    <row r="35" spans="1:13" x14ac:dyDescent="0.25">
      <c r="A35" s="15" t="s">
        <v>646</v>
      </c>
      <c r="B35" s="16" t="s">
        <v>642</v>
      </c>
      <c r="C35" s="17">
        <v>42339</v>
      </c>
      <c r="D35" s="18">
        <v>19832.310000000001</v>
      </c>
      <c r="E35" s="19">
        <v>0</v>
      </c>
      <c r="F35" s="19">
        <v>0</v>
      </c>
      <c r="G35" s="19">
        <v>19832.310000000001</v>
      </c>
      <c r="H35" s="18">
        <v>-19831.310000000001</v>
      </c>
      <c r="I35" s="19">
        <v>0</v>
      </c>
      <c r="J35" s="18">
        <v>0</v>
      </c>
      <c r="K35" s="19">
        <v>-19831.310000000001</v>
      </c>
      <c r="L35" s="19">
        <v>1</v>
      </c>
      <c r="M35" s="16" t="s">
        <v>59</v>
      </c>
    </row>
    <row r="36" spans="1:13" x14ac:dyDescent="0.25">
      <c r="A36" s="15" t="s">
        <v>647</v>
      </c>
      <c r="B36" s="16" t="s">
        <v>614</v>
      </c>
      <c r="C36" s="17">
        <v>42339</v>
      </c>
      <c r="D36" s="18">
        <v>12706.4</v>
      </c>
      <c r="E36" s="19">
        <v>0</v>
      </c>
      <c r="F36" s="19">
        <v>0</v>
      </c>
      <c r="G36" s="19">
        <v>12706.4</v>
      </c>
      <c r="H36" s="18">
        <v>-12705.4</v>
      </c>
      <c r="I36" s="19">
        <v>0</v>
      </c>
      <c r="J36" s="18">
        <v>0</v>
      </c>
      <c r="K36" s="19">
        <v>-12705.4</v>
      </c>
      <c r="L36" s="19">
        <v>1</v>
      </c>
      <c r="M36" s="16" t="s">
        <v>59</v>
      </c>
    </row>
    <row r="37" spans="1:13" x14ac:dyDescent="0.25">
      <c r="A37" s="15" t="s">
        <v>648</v>
      </c>
      <c r="B37" s="16" t="s">
        <v>612</v>
      </c>
      <c r="C37" s="17">
        <v>42339</v>
      </c>
      <c r="D37" s="18">
        <v>10924.88</v>
      </c>
      <c r="E37" s="19">
        <v>0</v>
      </c>
      <c r="F37" s="19">
        <v>0</v>
      </c>
      <c r="G37" s="19">
        <v>10924.88</v>
      </c>
      <c r="H37" s="18">
        <v>-10923.88</v>
      </c>
      <c r="I37" s="19">
        <v>0</v>
      </c>
      <c r="J37" s="18">
        <v>0</v>
      </c>
      <c r="K37" s="19">
        <v>-10923.88</v>
      </c>
      <c r="L37" s="19">
        <v>1</v>
      </c>
      <c r="M37" s="16" t="s">
        <v>59</v>
      </c>
    </row>
    <row r="38" spans="1:13" x14ac:dyDescent="0.25">
      <c r="A38" s="15" t="s">
        <v>649</v>
      </c>
      <c r="B38" s="16" t="s">
        <v>612</v>
      </c>
      <c r="C38" s="17">
        <v>42339</v>
      </c>
      <c r="D38" s="18">
        <v>10924.88</v>
      </c>
      <c r="E38" s="19">
        <v>0</v>
      </c>
      <c r="F38" s="19">
        <v>0</v>
      </c>
      <c r="G38" s="19">
        <v>10924.88</v>
      </c>
      <c r="H38" s="18">
        <v>-10923.88</v>
      </c>
      <c r="I38" s="19">
        <v>0</v>
      </c>
      <c r="J38" s="18">
        <v>0</v>
      </c>
      <c r="K38" s="19">
        <v>-10923.88</v>
      </c>
      <c r="L38" s="19">
        <v>1</v>
      </c>
      <c r="M38" s="16" t="s">
        <v>59</v>
      </c>
    </row>
    <row r="39" spans="1:13" x14ac:dyDescent="0.25">
      <c r="A39" s="15" t="s">
        <v>650</v>
      </c>
      <c r="B39" s="16" t="s">
        <v>651</v>
      </c>
      <c r="C39" s="17">
        <v>42339</v>
      </c>
      <c r="D39" s="18">
        <v>5154.3</v>
      </c>
      <c r="E39" s="19">
        <v>0</v>
      </c>
      <c r="F39" s="19">
        <v>0</v>
      </c>
      <c r="G39" s="19">
        <v>5154.3</v>
      </c>
      <c r="H39" s="18">
        <v>-5153.3</v>
      </c>
      <c r="I39" s="19">
        <v>0</v>
      </c>
      <c r="J39" s="18">
        <v>0</v>
      </c>
      <c r="K39" s="19">
        <v>-5153.3</v>
      </c>
      <c r="L39" s="19">
        <v>1</v>
      </c>
      <c r="M39" s="16" t="s">
        <v>59</v>
      </c>
    </row>
    <row r="40" spans="1:13" x14ac:dyDescent="0.25">
      <c r="A40" s="15" t="s">
        <v>652</v>
      </c>
      <c r="B40" s="16" t="s">
        <v>634</v>
      </c>
      <c r="C40" s="17">
        <v>42339</v>
      </c>
      <c r="D40" s="18">
        <v>2775.4</v>
      </c>
      <c r="E40" s="19">
        <v>0</v>
      </c>
      <c r="F40" s="19">
        <v>0</v>
      </c>
      <c r="G40" s="19">
        <v>2775.4</v>
      </c>
      <c r="H40" s="18">
        <v>-2774.4</v>
      </c>
      <c r="I40" s="19">
        <v>0</v>
      </c>
      <c r="J40" s="18">
        <v>0</v>
      </c>
      <c r="K40" s="19">
        <v>-2774.4</v>
      </c>
      <c r="L40" s="19">
        <v>1</v>
      </c>
      <c r="M40" s="16" t="s">
        <v>59</v>
      </c>
    </row>
    <row r="41" spans="1:13" x14ac:dyDescent="0.25">
      <c r="A41" s="15" t="s">
        <v>653</v>
      </c>
      <c r="B41" s="16" t="s">
        <v>654</v>
      </c>
      <c r="C41" s="17">
        <v>42339</v>
      </c>
      <c r="D41" s="18">
        <v>17342</v>
      </c>
      <c r="E41" s="19">
        <v>0</v>
      </c>
      <c r="F41" s="19">
        <v>0</v>
      </c>
      <c r="G41" s="19">
        <v>17342</v>
      </c>
      <c r="H41" s="18">
        <v>-17341</v>
      </c>
      <c r="I41" s="19">
        <v>0</v>
      </c>
      <c r="J41" s="18">
        <v>0</v>
      </c>
      <c r="K41" s="19">
        <v>-17341</v>
      </c>
      <c r="L41" s="19">
        <v>1</v>
      </c>
      <c r="M41" s="16" t="s">
        <v>59</v>
      </c>
    </row>
    <row r="42" spans="1:13" x14ac:dyDescent="0.25">
      <c r="A42" s="15" t="s">
        <v>655</v>
      </c>
      <c r="B42" s="16" t="s">
        <v>656</v>
      </c>
      <c r="C42" s="17">
        <v>42339</v>
      </c>
      <c r="D42" s="18">
        <v>450</v>
      </c>
      <c r="E42" s="19">
        <v>0</v>
      </c>
      <c r="F42" s="19">
        <v>0</v>
      </c>
      <c r="G42" s="19">
        <v>450</v>
      </c>
      <c r="H42" s="18">
        <v>-449</v>
      </c>
      <c r="I42" s="19">
        <v>0</v>
      </c>
      <c r="J42" s="18">
        <v>0</v>
      </c>
      <c r="K42" s="19">
        <v>-449</v>
      </c>
      <c r="L42" s="19">
        <v>1</v>
      </c>
      <c r="M42" s="16" t="s">
        <v>59</v>
      </c>
    </row>
    <row r="43" spans="1:13" x14ac:dyDescent="0.25">
      <c r="A43" s="15" t="s">
        <v>657</v>
      </c>
      <c r="B43" s="16" t="s">
        <v>656</v>
      </c>
      <c r="C43" s="17">
        <v>42339</v>
      </c>
      <c r="D43" s="18">
        <v>450</v>
      </c>
      <c r="E43" s="19">
        <v>0</v>
      </c>
      <c r="F43" s="19">
        <v>0</v>
      </c>
      <c r="G43" s="19">
        <v>450</v>
      </c>
      <c r="H43" s="18">
        <v>-449</v>
      </c>
      <c r="I43" s="19">
        <v>0</v>
      </c>
      <c r="J43" s="18">
        <v>0</v>
      </c>
      <c r="K43" s="19">
        <v>-449</v>
      </c>
      <c r="L43" s="19">
        <v>1</v>
      </c>
      <c r="M43" s="16" t="s">
        <v>59</v>
      </c>
    </row>
    <row r="44" spans="1:13" x14ac:dyDescent="0.25">
      <c r="A44" s="15" t="s">
        <v>658</v>
      </c>
      <c r="B44" s="16" t="s">
        <v>656</v>
      </c>
      <c r="C44" s="17">
        <v>42339</v>
      </c>
      <c r="D44" s="18">
        <v>450</v>
      </c>
      <c r="E44" s="19">
        <v>0</v>
      </c>
      <c r="F44" s="19">
        <v>0</v>
      </c>
      <c r="G44" s="19">
        <v>450</v>
      </c>
      <c r="H44" s="18">
        <v>-449</v>
      </c>
      <c r="I44" s="19">
        <v>0</v>
      </c>
      <c r="J44" s="18">
        <v>0</v>
      </c>
      <c r="K44" s="19">
        <v>-449</v>
      </c>
      <c r="L44" s="19">
        <v>1</v>
      </c>
      <c r="M44" s="16" t="s">
        <v>59</v>
      </c>
    </row>
    <row r="45" spans="1:13" x14ac:dyDescent="0.25">
      <c r="A45" s="15" t="s">
        <v>659</v>
      </c>
      <c r="B45" s="16" t="s">
        <v>656</v>
      </c>
      <c r="C45" s="17">
        <v>42339</v>
      </c>
      <c r="D45" s="18">
        <v>450</v>
      </c>
      <c r="E45" s="19">
        <v>0</v>
      </c>
      <c r="F45" s="19">
        <v>0</v>
      </c>
      <c r="G45" s="19">
        <v>450</v>
      </c>
      <c r="H45" s="18">
        <v>-449</v>
      </c>
      <c r="I45" s="19">
        <v>0</v>
      </c>
      <c r="J45" s="18">
        <v>0</v>
      </c>
      <c r="K45" s="19">
        <v>-449</v>
      </c>
      <c r="L45" s="19">
        <v>1</v>
      </c>
      <c r="M45" s="16" t="s">
        <v>59</v>
      </c>
    </row>
    <row r="46" spans="1:13" x14ac:dyDescent="0.25">
      <c r="A46" s="15" t="s">
        <v>660</v>
      </c>
      <c r="B46" s="16" t="s">
        <v>656</v>
      </c>
      <c r="C46" s="17">
        <v>42339</v>
      </c>
      <c r="D46" s="18">
        <v>495</v>
      </c>
      <c r="E46" s="19">
        <v>0</v>
      </c>
      <c r="F46" s="19">
        <v>0</v>
      </c>
      <c r="G46" s="19">
        <v>495</v>
      </c>
      <c r="H46" s="18">
        <v>-494</v>
      </c>
      <c r="I46" s="19">
        <v>0</v>
      </c>
      <c r="J46" s="18">
        <v>0</v>
      </c>
      <c r="K46" s="19">
        <v>-494</v>
      </c>
      <c r="L46" s="19">
        <v>1</v>
      </c>
      <c r="M46" s="16" t="s">
        <v>59</v>
      </c>
    </row>
    <row r="47" spans="1:13" x14ac:dyDescent="0.25">
      <c r="A47" s="15" t="s">
        <v>661</v>
      </c>
      <c r="B47" s="16" t="s">
        <v>656</v>
      </c>
      <c r="C47" s="17">
        <v>42339</v>
      </c>
      <c r="D47" s="18">
        <v>495</v>
      </c>
      <c r="E47" s="19">
        <v>0</v>
      </c>
      <c r="F47" s="19">
        <v>0</v>
      </c>
      <c r="G47" s="19">
        <v>495</v>
      </c>
      <c r="H47" s="18">
        <v>-494</v>
      </c>
      <c r="I47" s="19">
        <v>0</v>
      </c>
      <c r="J47" s="18">
        <v>0</v>
      </c>
      <c r="K47" s="19">
        <v>-494</v>
      </c>
      <c r="L47" s="19">
        <v>1</v>
      </c>
      <c r="M47" s="16" t="s">
        <v>59</v>
      </c>
    </row>
    <row r="48" spans="1:13" x14ac:dyDescent="0.25">
      <c r="A48" s="15" t="s">
        <v>662</v>
      </c>
      <c r="B48" s="16" t="s">
        <v>663</v>
      </c>
      <c r="C48" s="17">
        <v>42339</v>
      </c>
      <c r="D48" s="18">
        <v>495</v>
      </c>
      <c r="E48" s="19">
        <v>0</v>
      </c>
      <c r="F48" s="19">
        <v>0</v>
      </c>
      <c r="G48" s="19">
        <v>495</v>
      </c>
      <c r="H48" s="18">
        <v>-494</v>
      </c>
      <c r="I48" s="19">
        <v>0</v>
      </c>
      <c r="J48" s="18">
        <v>0</v>
      </c>
      <c r="K48" s="19">
        <v>-494</v>
      </c>
      <c r="L48" s="19">
        <v>1</v>
      </c>
      <c r="M48" s="16" t="s">
        <v>59</v>
      </c>
    </row>
    <row r="49" spans="1:13" x14ac:dyDescent="0.25">
      <c r="A49" s="15" t="s">
        <v>664</v>
      </c>
      <c r="B49" s="16" t="s">
        <v>665</v>
      </c>
      <c r="C49" s="17">
        <v>42339</v>
      </c>
      <c r="D49" s="18">
        <v>900</v>
      </c>
      <c r="E49" s="19">
        <v>0</v>
      </c>
      <c r="F49" s="19">
        <v>0</v>
      </c>
      <c r="G49" s="19">
        <v>900</v>
      </c>
      <c r="H49" s="18">
        <v>-899</v>
      </c>
      <c r="I49" s="19">
        <v>0</v>
      </c>
      <c r="J49" s="18">
        <v>0</v>
      </c>
      <c r="K49" s="19">
        <v>-899</v>
      </c>
      <c r="L49" s="19">
        <v>1</v>
      </c>
      <c r="M49" s="16" t="s">
        <v>59</v>
      </c>
    </row>
    <row r="50" spans="1:13" x14ac:dyDescent="0.25">
      <c r="A50" s="15" t="s">
        <v>666</v>
      </c>
      <c r="B50" s="16" t="s">
        <v>667</v>
      </c>
      <c r="C50" s="17">
        <v>42339</v>
      </c>
      <c r="D50" s="18">
        <v>1800</v>
      </c>
      <c r="E50" s="19">
        <v>0</v>
      </c>
      <c r="F50" s="19">
        <v>0</v>
      </c>
      <c r="G50" s="19">
        <v>1800</v>
      </c>
      <c r="H50" s="18">
        <v>-1799</v>
      </c>
      <c r="I50" s="19">
        <v>0</v>
      </c>
      <c r="J50" s="18">
        <v>0</v>
      </c>
      <c r="K50" s="19">
        <v>-1799</v>
      </c>
      <c r="L50" s="19">
        <v>1</v>
      </c>
      <c r="M50" s="16" t="s">
        <v>59</v>
      </c>
    </row>
    <row r="51" spans="1:13" x14ac:dyDescent="0.25">
      <c r="A51" s="15" t="s">
        <v>668</v>
      </c>
      <c r="B51" s="16" t="s">
        <v>669</v>
      </c>
      <c r="C51" s="17">
        <v>42339</v>
      </c>
      <c r="D51" s="18">
        <v>1798.02</v>
      </c>
      <c r="E51" s="19">
        <v>0</v>
      </c>
      <c r="F51" s="19">
        <v>0</v>
      </c>
      <c r="G51" s="19">
        <v>1798.02</v>
      </c>
      <c r="H51" s="18">
        <v>-1797.02</v>
      </c>
      <c r="I51" s="19">
        <v>0</v>
      </c>
      <c r="J51" s="18">
        <v>0</v>
      </c>
      <c r="K51" s="19">
        <v>-1797.02</v>
      </c>
      <c r="L51" s="19">
        <v>1</v>
      </c>
      <c r="M51" s="16" t="s">
        <v>59</v>
      </c>
    </row>
    <row r="52" spans="1:13" x14ac:dyDescent="0.25">
      <c r="A52" s="15" t="s">
        <v>670</v>
      </c>
      <c r="B52" s="16" t="s">
        <v>669</v>
      </c>
      <c r="C52" s="17">
        <v>42339</v>
      </c>
      <c r="D52" s="18">
        <v>1798.02</v>
      </c>
      <c r="E52" s="19">
        <v>0</v>
      </c>
      <c r="F52" s="19">
        <v>0</v>
      </c>
      <c r="G52" s="19">
        <v>1798.02</v>
      </c>
      <c r="H52" s="18">
        <v>-1797.02</v>
      </c>
      <c r="I52" s="19">
        <v>0</v>
      </c>
      <c r="J52" s="18">
        <v>0</v>
      </c>
      <c r="K52" s="19">
        <v>-1797.02</v>
      </c>
      <c r="L52" s="19">
        <v>1</v>
      </c>
      <c r="M52" s="16" t="s">
        <v>59</v>
      </c>
    </row>
    <row r="53" spans="1:13" x14ac:dyDescent="0.25">
      <c r="A53" s="15" t="s">
        <v>671</v>
      </c>
      <c r="B53" s="16" t="s">
        <v>669</v>
      </c>
      <c r="C53" s="17">
        <v>42339</v>
      </c>
      <c r="D53" s="18">
        <v>1798.02</v>
      </c>
      <c r="E53" s="19">
        <v>0</v>
      </c>
      <c r="F53" s="19">
        <v>0</v>
      </c>
      <c r="G53" s="19">
        <v>1798.02</v>
      </c>
      <c r="H53" s="18">
        <v>-1797.02</v>
      </c>
      <c r="I53" s="19">
        <v>0</v>
      </c>
      <c r="J53" s="18">
        <v>0</v>
      </c>
      <c r="K53" s="19">
        <v>-1797.02</v>
      </c>
      <c r="L53" s="19">
        <v>1</v>
      </c>
      <c r="M53" s="16" t="s">
        <v>59</v>
      </c>
    </row>
    <row r="54" spans="1:13" x14ac:dyDescent="0.25">
      <c r="A54" s="15" t="s">
        <v>672</v>
      </c>
      <c r="B54" s="16" t="s">
        <v>669</v>
      </c>
      <c r="C54" s="17">
        <v>42339</v>
      </c>
      <c r="D54" s="18">
        <v>1798.02</v>
      </c>
      <c r="E54" s="19">
        <v>0</v>
      </c>
      <c r="F54" s="19">
        <v>0</v>
      </c>
      <c r="G54" s="19">
        <v>1798.02</v>
      </c>
      <c r="H54" s="18">
        <v>-1797.02</v>
      </c>
      <c r="I54" s="19">
        <v>0</v>
      </c>
      <c r="J54" s="18">
        <v>0</v>
      </c>
      <c r="K54" s="19">
        <v>-1797.02</v>
      </c>
      <c r="L54" s="19">
        <v>1</v>
      </c>
      <c r="M54" s="16" t="s">
        <v>59</v>
      </c>
    </row>
    <row r="55" spans="1:13" x14ac:dyDescent="0.25">
      <c r="A55" s="15" t="s">
        <v>673</v>
      </c>
      <c r="B55" s="16" t="s">
        <v>669</v>
      </c>
      <c r="C55" s="17">
        <v>42339</v>
      </c>
      <c r="D55" s="18">
        <v>1798.02</v>
      </c>
      <c r="E55" s="19">
        <v>0</v>
      </c>
      <c r="F55" s="19">
        <v>0</v>
      </c>
      <c r="G55" s="19">
        <v>1798.02</v>
      </c>
      <c r="H55" s="18">
        <v>-1797.02</v>
      </c>
      <c r="I55" s="19">
        <v>0</v>
      </c>
      <c r="J55" s="18">
        <v>0</v>
      </c>
      <c r="K55" s="19">
        <v>-1797.02</v>
      </c>
      <c r="L55" s="19">
        <v>1</v>
      </c>
      <c r="M55" s="16" t="s">
        <v>59</v>
      </c>
    </row>
    <row r="56" spans="1:13" x14ac:dyDescent="0.25">
      <c r="A56" s="15" t="s">
        <v>674</v>
      </c>
      <c r="B56" s="16" t="s">
        <v>669</v>
      </c>
      <c r="C56" s="17">
        <v>42339</v>
      </c>
      <c r="D56" s="18">
        <v>1798.02</v>
      </c>
      <c r="E56" s="19">
        <v>0</v>
      </c>
      <c r="F56" s="19">
        <v>0</v>
      </c>
      <c r="G56" s="19">
        <v>1798.02</v>
      </c>
      <c r="H56" s="18">
        <v>-1797.02</v>
      </c>
      <c r="I56" s="19">
        <v>0</v>
      </c>
      <c r="J56" s="18">
        <v>0</v>
      </c>
      <c r="K56" s="19">
        <v>-1797.02</v>
      </c>
      <c r="L56" s="19">
        <v>1</v>
      </c>
      <c r="M56" s="16" t="s">
        <v>59</v>
      </c>
    </row>
    <row r="57" spans="1:13" x14ac:dyDescent="0.25">
      <c r="A57" s="15" t="s">
        <v>675</v>
      </c>
      <c r="B57" s="16" t="s">
        <v>669</v>
      </c>
      <c r="C57" s="17">
        <v>42339</v>
      </c>
      <c r="D57" s="18">
        <v>1798.02</v>
      </c>
      <c r="E57" s="19">
        <v>0</v>
      </c>
      <c r="F57" s="19">
        <v>0</v>
      </c>
      <c r="G57" s="19">
        <v>1798.02</v>
      </c>
      <c r="H57" s="18">
        <v>-1797.02</v>
      </c>
      <c r="I57" s="19">
        <v>0</v>
      </c>
      <c r="J57" s="18">
        <v>0</v>
      </c>
      <c r="K57" s="19">
        <v>-1797.02</v>
      </c>
      <c r="L57" s="19">
        <v>1</v>
      </c>
      <c r="M57" s="16" t="s">
        <v>59</v>
      </c>
    </row>
    <row r="58" spans="1:13" x14ac:dyDescent="0.25">
      <c r="A58" s="15" t="s">
        <v>676</v>
      </c>
      <c r="B58" s="16" t="s">
        <v>669</v>
      </c>
      <c r="C58" s="17">
        <v>42339</v>
      </c>
      <c r="D58" s="18">
        <v>1798.02</v>
      </c>
      <c r="E58" s="19">
        <v>0</v>
      </c>
      <c r="F58" s="19">
        <v>0</v>
      </c>
      <c r="G58" s="19">
        <v>1798.02</v>
      </c>
      <c r="H58" s="18">
        <v>-1797.02</v>
      </c>
      <c r="I58" s="19">
        <v>0</v>
      </c>
      <c r="J58" s="18">
        <v>0</v>
      </c>
      <c r="K58" s="19">
        <v>-1797.02</v>
      </c>
      <c r="L58" s="19">
        <v>1</v>
      </c>
      <c r="M58" s="16" t="s">
        <v>59</v>
      </c>
    </row>
    <row r="59" spans="1:13" x14ac:dyDescent="0.25">
      <c r="A59" s="15" t="s">
        <v>677</v>
      </c>
      <c r="B59" s="16" t="s">
        <v>669</v>
      </c>
      <c r="C59" s="17">
        <v>42339</v>
      </c>
      <c r="D59" s="18">
        <v>1798.02</v>
      </c>
      <c r="E59" s="19">
        <v>0</v>
      </c>
      <c r="F59" s="19">
        <v>0</v>
      </c>
      <c r="G59" s="19">
        <v>1798.02</v>
      </c>
      <c r="H59" s="18">
        <v>-1797.02</v>
      </c>
      <c r="I59" s="19">
        <v>0</v>
      </c>
      <c r="J59" s="18">
        <v>0</v>
      </c>
      <c r="K59" s="19">
        <v>-1797.02</v>
      </c>
      <c r="L59" s="19">
        <v>1</v>
      </c>
      <c r="M59" s="16" t="s">
        <v>59</v>
      </c>
    </row>
    <row r="60" spans="1:13" x14ac:dyDescent="0.25">
      <c r="A60" s="15" t="s">
        <v>678</v>
      </c>
      <c r="B60" s="16" t="s">
        <v>669</v>
      </c>
      <c r="C60" s="17">
        <v>42339</v>
      </c>
      <c r="D60" s="18">
        <v>1798.02</v>
      </c>
      <c r="E60" s="19">
        <v>0</v>
      </c>
      <c r="F60" s="19">
        <v>0</v>
      </c>
      <c r="G60" s="19">
        <v>1798.02</v>
      </c>
      <c r="H60" s="18">
        <v>-1797.02</v>
      </c>
      <c r="I60" s="19">
        <v>0</v>
      </c>
      <c r="J60" s="18">
        <v>0</v>
      </c>
      <c r="K60" s="19">
        <v>-1797.02</v>
      </c>
      <c r="L60" s="19">
        <v>1</v>
      </c>
      <c r="M60" s="16" t="s">
        <v>59</v>
      </c>
    </row>
    <row r="61" spans="1:13" x14ac:dyDescent="0.25">
      <c r="A61" s="15" t="s">
        <v>679</v>
      </c>
      <c r="B61" s="16" t="s">
        <v>669</v>
      </c>
      <c r="C61" s="17">
        <v>42339</v>
      </c>
      <c r="D61" s="18">
        <v>1798.02</v>
      </c>
      <c r="E61" s="19">
        <v>0</v>
      </c>
      <c r="F61" s="19">
        <v>0</v>
      </c>
      <c r="G61" s="19">
        <v>1798.02</v>
      </c>
      <c r="H61" s="18">
        <v>-1797.02</v>
      </c>
      <c r="I61" s="19">
        <v>0</v>
      </c>
      <c r="J61" s="18">
        <v>0</v>
      </c>
      <c r="K61" s="19">
        <v>-1797.02</v>
      </c>
      <c r="L61" s="19">
        <v>1</v>
      </c>
      <c r="M61" s="16" t="s">
        <v>59</v>
      </c>
    </row>
    <row r="62" spans="1:13" x14ac:dyDescent="0.25">
      <c r="A62" s="15" t="s">
        <v>680</v>
      </c>
      <c r="B62" s="16" t="s">
        <v>669</v>
      </c>
      <c r="C62" s="17">
        <v>42339</v>
      </c>
      <c r="D62" s="18">
        <v>1798.02</v>
      </c>
      <c r="E62" s="19">
        <v>0</v>
      </c>
      <c r="F62" s="19">
        <v>0</v>
      </c>
      <c r="G62" s="19">
        <v>1798.02</v>
      </c>
      <c r="H62" s="18">
        <v>-1797.02</v>
      </c>
      <c r="I62" s="19">
        <v>0</v>
      </c>
      <c r="J62" s="18">
        <v>0</v>
      </c>
      <c r="K62" s="19">
        <v>-1797.02</v>
      </c>
      <c r="L62" s="19">
        <v>1</v>
      </c>
      <c r="M62" s="16" t="s">
        <v>59</v>
      </c>
    </row>
    <row r="63" spans="1:13" x14ac:dyDescent="0.25">
      <c r="A63" s="15" t="s">
        <v>681</v>
      </c>
      <c r="B63" s="16" t="s">
        <v>669</v>
      </c>
      <c r="C63" s="17">
        <v>42339</v>
      </c>
      <c r="D63" s="18">
        <v>1798.02</v>
      </c>
      <c r="E63" s="19">
        <v>0</v>
      </c>
      <c r="F63" s="19">
        <v>0</v>
      </c>
      <c r="G63" s="19">
        <v>1798.02</v>
      </c>
      <c r="H63" s="18">
        <v>-1797.02</v>
      </c>
      <c r="I63" s="19">
        <v>0</v>
      </c>
      <c r="J63" s="18">
        <v>0</v>
      </c>
      <c r="K63" s="19">
        <v>-1797.02</v>
      </c>
      <c r="L63" s="19">
        <v>1</v>
      </c>
      <c r="M63" s="16" t="s">
        <v>59</v>
      </c>
    </row>
    <row r="64" spans="1:13" x14ac:dyDescent="0.25">
      <c r="A64" s="15" t="s">
        <v>682</v>
      </c>
      <c r="B64" s="16" t="s">
        <v>669</v>
      </c>
      <c r="C64" s="17">
        <v>42339</v>
      </c>
      <c r="D64" s="18">
        <v>1798.02</v>
      </c>
      <c r="E64" s="19">
        <v>0</v>
      </c>
      <c r="F64" s="19">
        <v>0</v>
      </c>
      <c r="G64" s="19">
        <v>1798.02</v>
      </c>
      <c r="H64" s="18">
        <v>-1797.02</v>
      </c>
      <c r="I64" s="19">
        <v>0</v>
      </c>
      <c r="J64" s="18">
        <v>0</v>
      </c>
      <c r="K64" s="19">
        <v>-1797.02</v>
      </c>
      <c r="L64" s="19">
        <v>1</v>
      </c>
      <c r="M64" s="16" t="s">
        <v>59</v>
      </c>
    </row>
    <row r="65" spans="1:13" x14ac:dyDescent="0.25">
      <c r="A65" s="15" t="s">
        <v>683</v>
      </c>
      <c r="B65" s="16" t="s">
        <v>669</v>
      </c>
      <c r="C65" s="17">
        <v>42339</v>
      </c>
      <c r="D65" s="18">
        <v>1798.02</v>
      </c>
      <c r="E65" s="19">
        <v>0</v>
      </c>
      <c r="F65" s="19">
        <v>0</v>
      </c>
      <c r="G65" s="19">
        <v>1798.02</v>
      </c>
      <c r="H65" s="18">
        <v>-1797.02</v>
      </c>
      <c r="I65" s="19">
        <v>0</v>
      </c>
      <c r="J65" s="18">
        <v>0</v>
      </c>
      <c r="K65" s="19">
        <v>-1797.02</v>
      </c>
      <c r="L65" s="19">
        <v>1</v>
      </c>
      <c r="M65" s="16" t="s">
        <v>59</v>
      </c>
    </row>
    <row r="66" spans="1:13" x14ac:dyDescent="0.25">
      <c r="A66" s="15" t="s">
        <v>684</v>
      </c>
      <c r="B66" s="16" t="s">
        <v>669</v>
      </c>
      <c r="C66" s="17">
        <v>42339</v>
      </c>
      <c r="D66" s="18">
        <v>1798.02</v>
      </c>
      <c r="E66" s="19">
        <v>0</v>
      </c>
      <c r="F66" s="19">
        <v>0</v>
      </c>
      <c r="G66" s="19">
        <v>1798.02</v>
      </c>
      <c r="H66" s="18">
        <v>-1797.02</v>
      </c>
      <c r="I66" s="19">
        <v>0</v>
      </c>
      <c r="J66" s="18">
        <v>0</v>
      </c>
      <c r="K66" s="19">
        <v>-1797.02</v>
      </c>
      <c r="L66" s="19">
        <v>1</v>
      </c>
      <c r="M66" s="16" t="s">
        <v>59</v>
      </c>
    </row>
    <row r="67" spans="1:13" x14ac:dyDescent="0.25">
      <c r="A67" s="15" t="s">
        <v>685</v>
      </c>
      <c r="B67" s="16" t="s">
        <v>669</v>
      </c>
      <c r="C67" s="17">
        <v>42339</v>
      </c>
      <c r="D67" s="18">
        <v>1798.02</v>
      </c>
      <c r="E67" s="19">
        <v>0</v>
      </c>
      <c r="F67" s="19">
        <v>0</v>
      </c>
      <c r="G67" s="19">
        <v>1798.02</v>
      </c>
      <c r="H67" s="18">
        <v>-1797.02</v>
      </c>
      <c r="I67" s="19">
        <v>0</v>
      </c>
      <c r="J67" s="18">
        <v>0</v>
      </c>
      <c r="K67" s="19">
        <v>-1797.02</v>
      </c>
      <c r="L67" s="19">
        <v>1</v>
      </c>
      <c r="M67" s="16" t="s">
        <v>59</v>
      </c>
    </row>
    <row r="68" spans="1:13" x14ac:dyDescent="0.25">
      <c r="A68" s="15" t="s">
        <v>686</v>
      </c>
      <c r="B68" s="16" t="s">
        <v>669</v>
      </c>
      <c r="C68" s="17">
        <v>42339</v>
      </c>
      <c r="D68" s="18">
        <v>1798.02</v>
      </c>
      <c r="E68" s="19">
        <v>0</v>
      </c>
      <c r="F68" s="19">
        <v>0</v>
      </c>
      <c r="G68" s="19">
        <v>1798.02</v>
      </c>
      <c r="H68" s="18">
        <v>-1797.02</v>
      </c>
      <c r="I68" s="19">
        <v>0</v>
      </c>
      <c r="J68" s="18">
        <v>0</v>
      </c>
      <c r="K68" s="19">
        <v>-1797.02</v>
      </c>
      <c r="L68" s="19">
        <v>1</v>
      </c>
      <c r="M68" s="16" t="s">
        <v>59</v>
      </c>
    </row>
    <row r="69" spans="1:13" x14ac:dyDescent="0.25">
      <c r="A69" s="15" t="s">
        <v>687</v>
      </c>
      <c r="B69" s="16" t="s">
        <v>669</v>
      </c>
      <c r="C69" s="17">
        <v>42339</v>
      </c>
      <c r="D69" s="18">
        <v>1798.02</v>
      </c>
      <c r="E69" s="19">
        <v>0</v>
      </c>
      <c r="F69" s="19">
        <v>0</v>
      </c>
      <c r="G69" s="19">
        <v>1798.02</v>
      </c>
      <c r="H69" s="18">
        <v>-1797.02</v>
      </c>
      <c r="I69" s="19">
        <v>0</v>
      </c>
      <c r="J69" s="18">
        <v>0</v>
      </c>
      <c r="K69" s="19">
        <v>-1797.02</v>
      </c>
      <c r="L69" s="19">
        <v>1</v>
      </c>
      <c r="M69" s="16" t="s">
        <v>59</v>
      </c>
    </row>
    <row r="70" spans="1:13" x14ac:dyDescent="0.25">
      <c r="A70" s="15" t="s">
        <v>688</v>
      </c>
      <c r="B70" s="16" t="s">
        <v>669</v>
      </c>
      <c r="C70" s="17">
        <v>42339</v>
      </c>
      <c r="D70" s="18">
        <v>1798.02</v>
      </c>
      <c r="E70" s="19">
        <v>0</v>
      </c>
      <c r="F70" s="19">
        <v>0</v>
      </c>
      <c r="G70" s="19">
        <v>1798.02</v>
      </c>
      <c r="H70" s="18">
        <v>-1797.02</v>
      </c>
      <c r="I70" s="19">
        <v>0</v>
      </c>
      <c r="J70" s="18">
        <v>0</v>
      </c>
      <c r="K70" s="19">
        <v>-1797.02</v>
      </c>
      <c r="L70" s="19">
        <v>1</v>
      </c>
      <c r="M70" s="16" t="s">
        <v>59</v>
      </c>
    </row>
    <row r="71" spans="1:13" x14ac:dyDescent="0.25">
      <c r="A71" s="15" t="s">
        <v>689</v>
      </c>
      <c r="B71" s="16" t="s">
        <v>669</v>
      </c>
      <c r="C71" s="17">
        <v>42339</v>
      </c>
      <c r="D71" s="18">
        <v>1798.02</v>
      </c>
      <c r="E71" s="19">
        <v>0</v>
      </c>
      <c r="F71" s="19">
        <v>0</v>
      </c>
      <c r="G71" s="19">
        <v>1798.02</v>
      </c>
      <c r="H71" s="18">
        <v>-1797.02</v>
      </c>
      <c r="I71" s="19">
        <v>0</v>
      </c>
      <c r="J71" s="18">
        <v>0</v>
      </c>
      <c r="K71" s="19">
        <v>-1797.02</v>
      </c>
      <c r="L71" s="19">
        <v>1</v>
      </c>
      <c r="M71" s="16" t="s">
        <v>59</v>
      </c>
    </row>
    <row r="72" spans="1:13" x14ac:dyDescent="0.25">
      <c r="A72" s="15" t="s">
        <v>690</v>
      </c>
      <c r="B72" s="16" t="s">
        <v>669</v>
      </c>
      <c r="C72" s="17">
        <v>42339</v>
      </c>
      <c r="D72" s="18">
        <v>1798.02</v>
      </c>
      <c r="E72" s="19">
        <v>0</v>
      </c>
      <c r="F72" s="19">
        <v>0</v>
      </c>
      <c r="G72" s="19">
        <v>1798.02</v>
      </c>
      <c r="H72" s="18">
        <v>-1797.02</v>
      </c>
      <c r="I72" s="19">
        <v>0</v>
      </c>
      <c r="J72" s="18">
        <v>0</v>
      </c>
      <c r="K72" s="19">
        <v>-1797.02</v>
      </c>
      <c r="L72" s="19">
        <v>1</v>
      </c>
      <c r="M72" s="16" t="s">
        <v>59</v>
      </c>
    </row>
    <row r="73" spans="1:13" x14ac:dyDescent="0.25">
      <c r="A73" s="15" t="s">
        <v>691</v>
      </c>
      <c r="B73" s="16" t="s">
        <v>669</v>
      </c>
      <c r="C73" s="17">
        <v>42339</v>
      </c>
      <c r="D73" s="18">
        <v>1798.02</v>
      </c>
      <c r="E73" s="19">
        <v>0</v>
      </c>
      <c r="F73" s="19">
        <v>0</v>
      </c>
      <c r="G73" s="19">
        <v>1798.02</v>
      </c>
      <c r="H73" s="18">
        <v>-1797.02</v>
      </c>
      <c r="I73" s="19">
        <v>0</v>
      </c>
      <c r="J73" s="18">
        <v>0</v>
      </c>
      <c r="K73" s="19">
        <v>-1797.02</v>
      </c>
      <c r="L73" s="19">
        <v>1</v>
      </c>
      <c r="M73" s="16" t="s">
        <v>59</v>
      </c>
    </row>
    <row r="74" spans="1:13" x14ac:dyDescent="0.25">
      <c r="A74" s="15" t="s">
        <v>692</v>
      </c>
      <c r="B74" s="16" t="s">
        <v>669</v>
      </c>
      <c r="C74" s="17">
        <v>42339</v>
      </c>
      <c r="D74" s="18">
        <v>1798.02</v>
      </c>
      <c r="E74" s="19">
        <v>0</v>
      </c>
      <c r="F74" s="19">
        <v>0</v>
      </c>
      <c r="G74" s="19">
        <v>1798.02</v>
      </c>
      <c r="H74" s="18">
        <v>-1797.02</v>
      </c>
      <c r="I74" s="19">
        <v>0</v>
      </c>
      <c r="J74" s="18">
        <v>0</v>
      </c>
      <c r="K74" s="19">
        <v>-1797.02</v>
      </c>
      <c r="L74" s="19">
        <v>1</v>
      </c>
      <c r="M74" s="16" t="s">
        <v>59</v>
      </c>
    </row>
    <row r="75" spans="1:13" x14ac:dyDescent="0.25">
      <c r="A75" s="15" t="s">
        <v>693</v>
      </c>
      <c r="B75" s="16" t="s">
        <v>669</v>
      </c>
      <c r="C75" s="17">
        <v>42339</v>
      </c>
      <c r="D75" s="18">
        <v>1798.02</v>
      </c>
      <c r="E75" s="19">
        <v>0</v>
      </c>
      <c r="F75" s="19">
        <v>0</v>
      </c>
      <c r="G75" s="19">
        <v>1798.02</v>
      </c>
      <c r="H75" s="18">
        <v>-1797.02</v>
      </c>
      <c r="I75" s="19">
        <v>0</v>
      </c>
      <c r="J75" s="18">
        <v>0</v>
      </c>
      <c r="K75" s="19">
        <v>-1797.02</v>
      </c>
      <c r="L75" s="19">
        <v>1</v>
      </c>
      <c r="M75" s="16" t="s">
        <v>59</v>
      </c>
    </row>
    <row r="76" spans="1:13" x14ac:dyDescent="0.25">
      <c r="A76" s="15" t="s">
        <v>694</v>
      </c>
      <c r="B76" s="16" t="s">
        <v>669</v>
      </c>
      <c r="C76" s="17">
        <v>42339</v>
      </c>
      <c r="D76" s="18">
        <v>1798.02</v>
      </c>
      <c r="E76" s="19">
        <v>0</v>
      </c>
      <c r="F76" s="19">
        <v>0</v>
      </c>
      <c r="G76" s="19">
        <v>1798.02</v>
      </c>
      <c r="H76" s="18">
        <v>-1797.02</v>
      </c>
      <c r="I76" s="19">
        <v>0</v>
      </c>
      <c r="J76" s="18">
        <v>0</v>
      </c>
      <c r="K76" s="19">
        <v>-1797.02</v>
      </c>
      <c r="L76" s="19">
        <v>1</v>
      </c>
      <c r="M76" s="16" t="s">
        <v>59</v>
      </c>
    </row>
    <row r="77" spans="1:13" x14ac:dyDescent="0.25">
      <c r="A77" s="15" t="s">
        <v>695</v>
      </c>
      <c r="B77" s="16" t="s">
        <v>669</v>
      </c>
      <c r="C77" s="17">
        <v>42339</v>
      </c>
      <c r="D77" s="18">
        <v>1798.02</v>
      </c>
      <c r="E77" s="19">
        <v>0</v>
      </c>
      <c r="F77" s="19">
        <v>0</v>
      </c>
      <c r="G77" s="19">
        <v>1798.02</v>
      </c>
      <c r="H77" s="18">
        <v>-1797.02</v>
      </c>
      <c r="I77" s="19">
        <v>0</v>
      </c>
      <c r="J77" s="18">
        <v>0</v>
      </c>
      <c r="K77" s="19">
        <v>-1797.02</v>
      </c>
      <c r="L77" s="19">
        <v>1</v>
      </c>
      <c r="M77" s="16" t="s">
        <v>59</v>
      </c>
    </row>
    <row r="78" spans="1:13" x14ac:dyDescent="0.25">
      <c r="A78" s="15" t="s">
        <v>696</v>
      </c>
      <c r="B78" s="16" t="s">
        <v>669</v>
      </c>
      <c r="C78" s="17">
        <v>42339</v>
      </c>
      <c r="D78" s="18">
        <v>1798.02</v>
      </c>
      <c r="E78" s="19">
        <v>0</v>
      </c>
      <c r="F78" s="19">
        <v>0</v>
      </c>
      <c r="G78" s="19">
        <v>1798.02</v>
      </c>
      <c r="H78" s="18">
        <v>-1797.02</v>
      </c>
      <c r="I78" s="19">
        <v>0</v>
      </c>
      <c r="J78" s="18">
        <v>0</v>
      </c>
      <c r="K78" s="19">
        <v>-1797.02</v>
      </c>
      <c r="L78" s="19">
        <v>1</v>
      </c>
      <c r="M78" s="16" t="s">
        <v>59</v>
      </c>
    </row>
    <row r="79" spans="1:13" x14ac:dyDescent="0.25">
      <c r="A79" s="15" t="s">
        <v>697</v>
      </c>
      <c r="B79" s="16" t="s">
        <v>669</v>
      </c>
      <c r="C79" s="17">
        <v>42339</v>
      </c>
      <c r="D79" s="18">
        <v>1798.02</v>
      </c>
      <c r="E79" s="19">
        <v>0</v>
      </c>
      <c r="F79" s="19">
        <v>0</v>
      </c>
      <c r="G79" s="19">
        <v>1798.02</v>
      </c>
      <c r="H79" s="18">
        <v>-1797.02</v>
      </c>
      <c r="I79" s="19">
        <v>0</v>
      </c>
      <c r="J79" s="18">
        <v>0</v>
      </c>
      <c r="K79" s="19">
        <v>-1797.02</v>
      </c>
      <c r="L79" s="19">
        <v>1</v>
      </c>
      <c r="M79" s="16" t="s">
        <v>59</v>
      </c>
    </row>
    <row r="80" spans="1:13" x14ac:dyDescent="0.25">
      <c r="A80" s="15" t="s">
        <v>698</v>
      </c>
      <c r="B80" s="16" t="s">
        <v>669</v>
      </c>
      <c r="C80" s="17">
        <v>42339</v>
      </c>
      <c r="D80" s="18">
        <v>1798.01</v>
      </c>
      <c r="E80" s="19">
        <v>0</v>
      </c>
      <c r="F80" s="19">
        <v>0</v>
      </c>
      <c r="G80" s="19">
        <v>1798.01</v>
      </c>
      <c r="H80" s="18">
        <v>-1797.01</v>
      </c>
      <c r="I80" s="19">
        <v>0</v>
      </c>
      <c r="J80" s="18">
        <v>0</v>
      </c>
      <c r="K80" s="19">
        <v>-1797.01</v>
      </c>
      <c r="L80" s="19">
        <v>1</v>
      </c>
      <c r="M80" s="16" t="s">
        <v>59</v>
      </c>
    </row>
    <row r="81" spans="1:13" x14ac:dyDescent="0.25">
      <c r="A81" s="15" t="s">
        <v>699</v>
      </c>
      <c r="B81" s="16" t="s">
        <v>700</v>
      </c>
      <c r="C81" s="17">
        <v>42339</v>
      </c>
      <c r="D81" s="18">
        <v>2049.5</v>
      </c>
      <c r="E81" s="19">
        <v>0</v>
      </c>
      <c r="F81" s="19">
        <v>0</v>
      </c>
      <c r="G81" s="19">
        <v>2049.5</v>
      </c>
      <c r="H81" s="18">
        <v>-2048.5</v>
      </c>
      <c r="I81" s="19">
        <v>0</v>
      </c>
      <c r="J81" s="18">
        <v>0</v>
      </c>
      <c r="K81" s="19">
        <v>-2048.5</v>
      </c>
      <c r="L81" s="19">
        <v>1</v>
      </c>
      <c r="M81" s="16" t="s">
        <v>59</v>
      </c>
    </row>
    <row r="82" spans="1:13" x14ac:dyDescent="0.25">
      <c r="A82" s="15" t="s">
        <v>701</v>
      </c>
      <c r="B82" s="16" t="s">
        <v>614</v>
      </c>
      <c r="C82" s="17">
        <v>42428</v>
      </c>
      <c r="D82" s="18">
        <v>13166.69</v>
      </c>
      <c r="E82" s="19">
        <v>0</v>
      </c>
      <c r="F82" s="19">
        <v>0</v>
      </c>
      <c r="G82" s="19">
        <v>13166.69</v>
      </c>
      <c r="H82" s="18">
        <v>-13165.69</v>
      </c>
      <c r="I82" s="19">
        <v>0</v>
      </c>
      <c r="J82" s="18">
        <v>0</v>
      </c>
      <c r="K82" s="19">
        <v>-13165.69</v>
      </c>
      <c r="L82" s="19">
        <v>1</v>
      </c>
      <c r="M82" s="16" t="s">
        <v>59</v>
      </c>
    </row>
    <row r="83" spans="1:13" x14ac:dyDescent="0.25">
      <c r="A83" s="15" t="s">
        <v>702</v>
      </c>
      <c r="B83" s="16" t="s">
        <v>79</v>
      </c>
      <c r="C83" s="17">
        <v>42522</v>
      </c>
      <c r="D83" s="18">
        <v>8910.89</v>
      </c>
      <c r="E83" s="19">
        <v>0</v>
      </c>
      <c r="F83" s="19">
        <v>0</v>
      </c>
      <c r="G83" s="19">
        <v>8910.89</v>
      </c>
      <c r="H83" s="18">
        <v>-8909.89</v>
      </c>
      <c r="I83" s="19">
        <v>0</v>
      </c>
      <c r="J83" s="18">
        <v>0</v>
      </c>
      <c r="K83" s="19">
        <v>-8909.89</v>
      </c>
      <c r="L83" s="19">
        <v>1</v>
      </c>
      <c r="M83" s="16" t="s">
        <v>59</v>
      </c>
    </row>
    <row r="84" spans="1:13" x14ac:dyDescent="0.25">
      <c r="A84" s="15" t="s">
        <v>703</v>
      </c>
      <c r="B84" s="16" t="s">
        <v>81</v>
      </c>
      <c r="C84" s="17">
        <v>42522</v>
      </c>
      <c r="D84" s="18">
        <v>235.64</v>
      </c>
      <c r="E84" s="19">
        <v>0</v>
      </c>
      <c r="F84" s="19">
        <v>0</v>
      </c>
      <c r="G84" s="19">
        <v>235.64</v>
      </c>
      <c r="H84" s="18">
        <v>-234.64</v>
      </c>
      <c r="I84" s="19">
        <v>0</v>
      </c>
      <c r="J84" s="18">
        <v>0</v>
      </c>
      <c r="K84" s="19">
        <v>-234.64</v>
      </c>
      <c r="L84" s="19">
        <v>1</v>
      </c>
      <c r="M84" s="16" t="s">
        <v>59</v>
      </c>
    </row>
    <row r="85" spans="1:13" x14ac:dyDescent="0.25">
      <c r="A85" s="15" t="s">
        <v>704</v>
      </c>
      <c r="B85" s="16" t="s">
        <v>705</v>
      </c>
      <c r="C85" s="17">
        <v>42522</v>
      </c>
      <c r="D85" s="18">
        <v>2571.73</v>
      </c>
      <c r="E85" s="19">
        <v>0</v>
      </c>
      <c r="F85" s="19">
        <v>0</v>
      </c>
      <c r="G85" s="19">
        <v>2571.73</v>
      </c>
      <c r="H85" s="18">
        <v>-2570.73</v>
      </c>
      <c r="I85" s="19">
        <v>0</v>
      </c>
      <c r="J85" s="18">
        <v>0</v>
      </c>
      <c r="K85" s="19">
        <v>-2570.73</v>
      </c>
      <c r="L85" s="19">
        <v>1</v>
      </c>
      <c r="M85" s="16" t="s">
        <v>59</v>
      </c>
    </row>
    <row r="86" spans="1:13" x14ac:dyDescent="0.25">
      <c r="A86" s="15" t="s">
        <v>706</v>
      </c>
      <c r="B86" s="16" t="s">
        <v>707</v>
      </c>
      <c r="C86" s="17">
        <v>42522</v>
      </c>
      <c r="D86" s="18">
        <v>458.18</v>
      </c>
      <c r="E86" s="19">
        <v>0</v>
      </c>
      <c r="F86" s="19">
        <v>0</v>
      </c>
      <c r="G86" s="19">
        <v>458.18</v>
      </c>
      <c r="H86" s="18">
        <v>-457.18</v>
      </c>
      <c r="I86" s="19">
        <v>0</v>
      </c>
      <c r="J86" s="18">
        <v>0</v>
      </c>
      <c r="K86" s="19">
        <v>-457.18</v>
      </c>
      <c r="L86" s="19">
        <v>1</v>
      </c>
      <c r="M86" s="16" t="s">
        <v>59</v>
      </c>
    </row>
    <row r="87" spans="1:13" x14ac:dyDescent="0.25">
      <c r="A87" s="15" t="s">
        <v>708</v>
      </c>
      <c r="B87" s="16" t="s">
        <v>709</v>
      </c>
      <c r="C87" s="17">
        <v>42522</v>
      </c>
      <c r="D87" s="18">
        <v>8576.34</v>
      </c>
      <c r="E87" s="19">
        <v>0</v>
      </c>
      <c r="F87" s="19">
        <v>0</v>
      </c>
      <c r="G87" s="19">
        <v>8576.34</v>
      </c>
      <c r="H87" s="18">
        <v>-8575.34</v>
      </c>
      <c r="I87" s="19">
        <v>0</v>
      </c>
      <c r="J87" s="18">
        <v>0</v>
      </c>
      <c r="K87" s="19">
        <v>-8575.34</v>
      </c>
      <c r="L87" s="19">
        <v>1</v>
      </c>
      <c r="M87" s="16" t="s">
        <v>59</v>
      </c>
    </row>
    <row r="88" spans="1:13" x14ac:dyDescent="0.25">
      <c r="A88" s="15" t="s">
        <v>710</v>
      </c>
      <c r="B88" s="16" t="s">
        <v>636</v>
      </c>
      <c r="C88" s="17">
        <v>43445</v>
      </c>
      <c r="D88" s="18">
        <v>2413.64</v>
      </c>
      <c r="E88" s="19">
        <v>0</v>
      </c>
      <c r="F88" s="19">
        <v>0</v>
      </c>
      <c r="G88" s="19">
        <v>2413.64</v>
      </c>
      <c r="H88" s="18">
        <v>-2412.64</v>
      </c>
      <c r="I88" s="19">
        <v>0</v>
      </c>
      <c r="J88" s="18">
        <v>0</v>
      </c>
      <c r="K88" s="19">
        <v>-2412.64</v>
      </c>
      <c r="L88" s="19">
        <v>1</v>
      </c>
      <c r="M88" s="16" t="s">
        <v>59</v>
      </c>
    </row>
    <row r="89" spans="1:13" x14ac:dyDescent="0.25">
      <c r="A89" s="15" t="s">
        <v>711</v>
      </c>
      <c r="B89" s="16" t="s">
        <v>712</v>
      </c>
      <c r="C89" s="17">
        <v>43650</v>
      </c>
      <c r="D89" s="18">
        <v>3638.61</v>
      </c>
      <c r="E89" s="19">
        <v>0</v>
      </c>
      <c r="F89" s="19">
        <v>0</v>
      </c>
      <c r="G89" s="19">
        <v>3638.61</v>
      </c>
      <c r="H89" s="18">
        <v>-3153.28</v>
      </c>
      <c r="I89" s="19">
        <v>-484.33</v>
      </c>
      <c r="J89" s="18">
        <v>0</v>
      </c>
      <c r="K89" s="19">
        <v>-3637.61</v>
      </c>
      <c r="L89" s="19">
        <v>1</v>
      </c>
      <c r="M89" s="16" t="s">
        <v>59</v>
      </c>
    </row>
    <row r="90" spans="1:13" x14ac:dyDescent="0.25">
      <c r="A90" s="15" t="s">
        <v>713</v>
      </c>
      <c r="B90" s="16" t="s">
        <v>712</v>
      </c>
      <c r="C90" s="17">
        <v>43650</v>
      </c>
      <c r="D90" s="18">
        <v>3638.61</v>
      </c>
      <c r="E90" s="19">
        <v>0</v>
      </c>
      <c r="F90" s="19">
        <v>0</v>
      </c>
      <c r="G90" s="19">
        <v>3638.61</v>
      </c>
      <c r="H90" s="18">
        <v>-3153.28</v>
      </c>
      <c r="I90" s="19">
        <v>-484.33</v>
      </c>
      <c r="J90" s="18">
        <v>0</v>
      </c>
      <c r="K90" s="19">
        <v>-3637.61</v>
      </c>
      <c r="L90" s="19">
        <v>1</v>
      </c>
      <c r="M90" s="16" t="s">
        <v>59</v>
      </c>
    </row>
    <row r="91" spans="1:13" x14ac:dyDescent="0.25">
      <c r="A91" s="15" t="s">
        <v>714</v>
      </c>
      <c r="B91" s="16" t="s">
        <v>712</v>
      </c>
      <c r="C91" s="17">
        <v>43650</v>
      </c>
      <c r="D91" s="18">
        <v>3638.61</v>
      </c>
      <c r="E91" s="19">
        <v>0</v>
      </c>
      <c r="F91" s="19">
        <v>0</v>
      </c>
      <c r="G91" s="19">
        <v>3638.61</v>
      </c>
      <c r="H91" s="18">
        <v>-3153.28</v>
      </c>
      <c r="I91" s="19">
        <v>-484.33</v>
      </c>
      <c r="J91" s="18">
        <v>0</v>
      </c>
      <c r="K91" s="19">
        <v>-3637.61</v>
      </c>
      <c r="L91" s="19">
        <v>1</v>
      </c>
      <c r="M91" s="16" t="s">
        <v>59</v>
      </c>
    </row>
    <row r="92" spans="1:13" x14ac:dyDescent="0.25">
      <c r="A92" s="15" t="s">
        <v>715</v>
      </c>
      <c r="B92" s="16" t="s">
        <v>712</v>
      </c>
      <c r="C92" s="17">
        <v>43650</v>
      </c>
      <c r="D92" s="18">
        <v>3638.61</v>
      </c>
      <c r="E92" s="19">
        <v>0</v>
      </c>
      <c r="F92" s="19">
        <v>0</v>
      </c>
      <c r="G92" s="19">
        <v>3638.61</v>
      </c>
      <c r="H92" s="18">
        <v>-3153.28</v>
      </c>
      <c r="I92" s="19">
        <v>-484.33</v>
      </c>
      <c r="J92" s="18">
        <v>0</v>
      </c>
      <c r="K92" s="19">
        <v>-3637.61</v>
      </c>
      <c r="L92" s="19">
        <v>1</v>
      </c>
      <c r="M92" s="16" t="s">
        <v>59</v>
      </c>
    </row>
    <row r="93" spans="1:13" x14ac:dyDescent="0.25">
      <c r="A93" s="15" t="s">
        <v>716</v>
      </c>
      <c r="B93" s="16" t="s">
        <v>717</v>
      </c>
      <c r="C93" s="17">
        <v>43650</v>
      </c>
      <c r="D93" s="18">
        <v>4138.6099999999997</v>
      </c>
      <c r="E93" s="19">
        <v>0</v>
      </c>
      <c r="F93" s="19">
        <v>0</v>
      </c>
      <c r="G93" s="19">
        <v>4138.6099999999997</v>
      </c>
      <c r="H93" s="18">
        <v>-3586.96</v>
      </c>
      <c r="I93" s="19">
        <v>-550.65</v>
      </c>
      <c r="J93" s="18">
        <v>0</v>
      </c>
      <c r="K93" s="19">
        <v>-4137.6099999999997</v>
      </c>
      <c r="L93" s="19">
        <v>1</v>
      </c>
      <c r="M93" s="16" t="s">
        <v>59</v>
      </c>
    </row>
    <row r="94" spans="1:13" x14ac:dyDescent="0.25">
      <c r="A94" s="15" t="s">
        <v>718</v>
      </c>
      <c r="B94" s="16" t="s">
        <v>717</v>
      </c>
      <c r="C94" s="17">
        <v>43650</v>
      </c>
      <c r="D94" s="18">
        <v>4138.6099999999997</v>
      </c>
      <c r="E94" s="19">
        <v>0</v>
      </c>
      <c r="F94" s="19">
        <v>0</v>
      </c>
      <c r="G94" s="19">
        <v>4138.6099999999997</v>
      </c>
      <c r="H94" s="18">
        <v>-3586.96</v>
      </c>
      <c r="I94" s="19">
        <v>-550.65</v>
      </c>
      <c r="J94" s="18">
        <v>0</v>
      </c>
      <c r="K94" s="19">
        <v>-4137.6099999999997</v>
      </c>
      <c r="L94" s="19">
        <v>1</v>
      </c>
      <c r="M94" s="16" t="s">
        <v>59</v>
      </c>
    </row>
    <row r="95" spans="1:13" x14ac:dyDescent="0.25">
      <c r="A95" s="15" t="s">
        <v>719</v>
      </c>
      <c r="B95" s="16" t="s">
        <v>717</v>
      </c>
      <c r="C95" s="17">
        <v>43650</v>
      </c>
      <c r="D95" s="18">
        <v>4138.6099999999997</v>
      </c>
      <c r="E95" s="19">
        <v>0</v>
      </c>
      <c r="F95" s="19">
        <v>0</v>
      </c>
      <c r="G95" s="19">
        <v>4138.6099999999997</v>
      </c>
      <c r="H95" s="18">
        <v>-3586.96</v>
      </c>
      <c r="I95" s="19">
        <v>-550.65</v>
      </c>
      <c r="J95" s="18">
        <v>0</v>
      </c>
      <c r="K95" s="19">
        <v>-4137.6099999999997</v>
      </c>
      <c r="L95" s="19">
        <v>1</v>
      </c>
      <c r="M95" s="16" t="s">
        <v>59</v>
      </c>
    </row>
    <row r="96" spans="1:13" x14ac:dyDescent="0.25">
      <c r="A96" s="15" t="s">
        <v>720</v>
      </c>
      <c r="B96" s="16" t="s">
        <v>717</v>
      </c>
      <c r="C96" s="17">
        <v>43650</v>
      </c>
      <c r="D96" s="18">
        <v>4138.6099999999997</v>
      </c>
      <c r="E96" s="19">
        <v>0</v>
      </c>
      <c r="F96" s="19">
        <v>0</v>
      </c>
      <c r="G96" s="19">
        <v>4138.6099999999997</v>
      </c>
      <c r="H96" s="18">
        <v>-3586.96</v>
      </c>
      <c r="I96" s="19">
        <v>-550.65</v>
      </c>
      <c r="J96" s="18">
        <v>0</v>
      </c>
      <c r="K96" s="19">
        <v>-4137.6099999999997</v>
      </c>
      <c r="L96" s="19">
        <v>1</v>
      </c>
      <c r="M96" s="16" t="s">
        <v>59</v>
      </c>
    </row>
    <row r="97" spans="1:13" x14ac:dyDescent="0.25">
      <c r="A97" s="15" t="s">
        <v>721</v>
      </c>
      <c r="B97" s="16" t="s">
        <v>722</v>
      </c>
      <c r="C97" s="17">
        <v>43770</v>
      </c>
      <c r="D97" s="18">
        <v>0</v>
      </c>
      <c r="E97" s="19">
        <v>0</v>
      </c>
      <c r="F97" s="19">
        <v>0</v>
      </c>
      <c r="G97" s="19">
        <v>0</v>
      </c>
      <c r="H97" s="18">
        <v>0</v>
      </c>
      <c r="I97" s="19">
        <v>0</v>
      </c>
      <c r="J97" s="18">
        <v>0</v>
      </c>
      <c r="K97" s="19">
        <v>0</v>
      </c>
      <c r="L97" s="19">
        <v>0</v>
      </c>
      <c r="M97" s="16" t="s">
        <v>59</v>
      </c>
    </row>
    <row r="98" spans="1:13" x14ac:dyDescent="0.25">
      <c r="A98" s="15" t="s">
        <v>723</v>
      </c>
      <c r="B98" s="16" t="s">
        <v>724</v>
      </c>
      <c r="C98" s="17">
        <v>44272</v>
      </c>
      <c r="D98" s="18">
        <v>1</v>
      </c>
      <c r="E98" s="19">
        <v>0</v>
      </c>
      <c r="F98" s="19">
        <v>0</v>
      </c>
      <c r="G98" s="19">
        <v>1</v>
      </c>
      <c r="H98" s="18">
        <v>0</v>
      </c>
      <c r="I98" s="19">
        <v>0</v>
      </c>
      <c r="J98" s="18">
        <v>0</v>
      </c>
      <c r="K98" s="19">
        <v>0</v>
      </c>
      <c r="L98" s="19">
        <v>1</v>
      </c>
      <c r="M98" s="16" t="s">
        <v>59</v>
      </c>
    </row>
    <row r="99" spans="1:13" x14ac:dyDescent="0.25">
      <c r="A99" s="15" t="s">
        <v>725</v>
      </c>
      <c r="B99" s="16" t="s">
        <v>726</v>
      </c>
      <c r="C99" s="17">
        <v>44551</v>
      </c>
      <c r="D99" s="18">
        <v>40074.730000000003</v>
      </c>
      <c r="E99" s="19">
        <v>0</v>
      </c>
      <c r="F99" s="19">
        <v>0</v>
      </c>
      <c r="G99" s="19">
        <v>40074.730000000003</v>
      </c>
      <c r="H99" s="18">
        <v>-16266.84</v>
      </c>
      <c r="I99" s="19">
        <v>-8014.92</v>
      </c>
      <c r="J99" s="18">
        <v>0</v>
      </c>
      <c r="K99" s="19">
        <v>-24281.759999999998</v>
      </c>
      <c r="L99" s="19">
        <v>15792.97</v>
      </c>
      <c r="M99" s="16" t="s">
        <v>59</v>
      </c>
    </row>
    <row r="100" spans="1:13" x14ac:dyDescent="0.25">
      <c r="A100" s="15" t="s">
        <v>727</v>
      </c>
      <c r="B100" s="16" t="s">
        <v>728</v>
      </c>
      <c r="C100" s="17">
        <v>44551</v>
      </c>
      <c r="D100" s="18">
        <v>40074.730000000003</v>
      </c>
      <c r="E100" s="19">
        <v>0</v>
      </c>
      <c r="F100" s="19">
        <v>0</v>
      </c>
      <c r="G100" s="19">
        <v>40074.730000000003</v>
      </c>
      <c r="H100" s="18">
        <v>-16266.84</v>
      </c>
      <c r="I100" s="19">
        <v>-8014.92</v>
      </c>
      <c r="J100" s="18">
        <v>0</v>
      </c>
      <c r="K100" s="19">
        <v>-24281.759999999998</v>
      </c>
      <c r="L100" s="19">
        <v>15792.97</v>
      </c>
      <c r="M100" s="16" t="s">
        <v>59</v>
      </c>
    </row>
    <row r="101" spans="1:13" x14ac:dyDescent="0.25">
      <c r="A101" s="15" t="s">
        <v>729</v>
      </c>
      <c r="B101" s="16" t="s">
        <v>730</v>
      </c>
      <c r="C101" s="17">
        <v>44551</v>
      </c>
      <c r="D101" s="18">
        <v>91781.93</v>
      </c>
      <c r="E101" s="19">
        <v>0</v>
      </c>
      <c r="F101" s="19">
        <v>0</v>
      </c>
      <c r="G101" s="19">
        <v>91781.93</v>
      </c>
      <c r="H101" s="18">
        <v>-37255.599999999999</v>
      </c>
      <c r="I101" s="19">
        <v>-18356.400000000001</v>
      </c>
      <c r="J101" s="18">
        <v>0</v>
      </c>
      <c r="K101" s="19">
        <v>-55612</v>
      </c>
      <c r="L101" s="19">
        <v>36169.93</v>
      </c>
      <c r="M101" s="16" t="s">
        <v>59</v>
      </c>
    </row>
    <row r="102" spans="1:13" x14ac:dyDescent="0.25">
      <c r="A102" s="15" t="s">
        <v>731</v>
      </c>
      <c r="B102" s="16" t="s">
        <v>730</v>
      </c>
      <c r="C102" s="17">
        <v>44582</v>
      </c>
      <c r="D102" s="18">
        <v>102073.18</v>
      </c>
      <c r="E102" s="19">
        <v>0</v>
      </c>
      <c r="F102" s="19">
        <v>0</v>
      </c>
      <c r="G102" s="19">
        <v>102073.18</v>
      </c>
      <c r="H102" s="18">
        <v>-39731.72</v>
      </c>
      <c r="I102" s="19">
        <v>-20414.64</v>
      </c>
      <c r="J102" s="18">
        <v>0</v>
      </c>
      <c r="K102" s="19">
        <v>-60146.36</v>
      </c>
      <c r="L102" s="19">
        <v>41926.82</v>
      </c>
      <c r="M102" s="16" t="s">
        <v>59</v>
      </c>
    </row>
    <row r="103" spans="1:13" x14ac:dyDescent="0.25">
      <c r="A103" s="15" t="s">
        <v>732</v>
      </c>
      <c r="B103" s="16" t="s">
        <v>733</v>
      </c>
      <c r="C103" s="17">
        <v>44621</v>
      </c>
      <c r="D103" s="18">
        <v>29586.71</v>
      </c>
      <c r="E103" s="19">
        <v>0</v>
      </c>
      <c r="F103" s="19">
        <v>0</v>
      </c>
      <c r="G103" s="19">
        <v>29586.71</v>
      </c>
      <c r="H103" s="18">
        <v>-10848.42</v>
      </c>
      <c r="I103" s="19">
        <v>-5917.32</v>
      </c>
      <c r="J103" s="18">
        <v>0</v>
      </c>
      <c r="K103" s="19">
        <v>-16765.740000000002</v>
      </c>
      <c r="L103" s="19">
        <v>12820.97</v>
      </c>
      <c r="M103" s="16" t="s">
        <v>59</v>
      </c>
    </row>
    <row r="104" spans="1:13" x14ac:dyDescent="0.25">
      <c r="A104" s="15" t="s">
        <v>734</v>
      </c>
      <c r="B104" s="16" t="s">
        <v>669</v>
      </c>
      <c r="C104" s="17">
        <v>44977</v>
      </c>
      <c r="D104" s="18">
        <v>0</v>
      </c>
      <c r="E104" s="19">
        <v>0</v>
      </c>
      <c r="F104" s="19">
        <v>0</v>
      </c>
      <c r="G104" s="19">
        <v>0</v>
      </c>
      <c r="H104" s="18">
        <v>0</v>
      </c>
      <c r="I104" s="19">
        <v>0</v>
      </c>
      <c r="J104" s="18">
        <v>0</v>
      </c>
      <c r="K104" s="19">
        <v>0</v>
      </c>
      <c r="L104" s="19">
        <v>0</v>
      </c>
      <c r="M104" s="16" t="s">
        <v>59</v>
      </c>
    </row>
    <row r="105" spans="1:13" x14ac:dyDescent="0.25">
      <c r="A105" s="15" t="s">
        <v>735</v>
      </c>
      <c r="B105" s="16" t="s">
        <v>669</v>
      </c>
      <c r="C105" s="17">
        <v>44977</v>
      </c>
      <c r="D105" s="18">
        <v>0</v>
      </c>
      <c r="E105" s="19">
        <v>0</v>
      </c>
      <c r="F105" s="19">
        <v>0</v>
      </c>
      <c r="G105" s="19">
        <v>0</v>
      </c>
      <c r="H105" s="18">
        <v>0</v>
      </c>
      <c r="I105" s="19">
        <v>0</v>
      </c>
      <c r="J105" s="18">
        <v>0</v>
      </c>
      <c r="K105" s="19">
        <v>0</v>
      </c>
      <c r="L105" s="19">
        <v>0</v>
      </c>
      <c r="M105" s="16" t="s">
        <v>59</v>
      </c>
    </row>
    <row r="106" spans="1:13" x14ac:dyDescent="0.25">
      <c r="A106" s="15" t="s">
        <v>736</v>
      </c>
      <c r="B106" s="16" t="s">
        <v>669</v>
      </c>
      <c r="C106" s="17">
        <v>44977</v>
      </c>
      <c r="D106" s="18">
        <v>0</v>
      </c>
      <c r="E106" s="19">
        <v>0</v>
      </c>
      <c r="F106" s="19">
        <v>0</v>
      </c>
      <c r="G106" s="19">
        <v>0</v>
      </c>
      <c r="H106" s="18">
        <v>0</v>
      </c>
      <c r="I106" s="19">
        <v>0</v>
      </c>
      <c r="J106" s="18">
        <v>0</v>
      </c>
      <c r="K106" s="19">
        <v>0</v>
      </c>
      <c r="L106" s="19">
        <v>0</v>
      </c>
      <c r="M106" s="16" t="s">
        <v>59</v>
      </c>
    </row>
    <row r="107" spans="1:13" x14ac:dyDescent="0.25">
      <c r="A107" s="15" t="s">
        <v>737</v>
      </c>
      <c r="B107" s="16" t="s">
        <v>669</v>
      </c>
      <c r="C107" s="17">
        <v>44977</v>
      </c>
      <c r="D107" s="18">
        <v>0</v>
      </c>
      <c r="E107" s="19">
        <v>0</v>
      </c>
      <c r="F107" s="19">
        <v>0</v>
      </c>
      <c r="G107" s="19">
        <v>0</v>
      </c>
      <c r="H107" s="18">
        <v>0</v>
      </c>
      <c r="I107" s="19">
        <v>0</v>
      </c>
      <c r="J107" s="18">
        <v>0</v>
      </c>
      <c r="K107" s="19">
        <v>0</v>
      </c>
      <c r="L107" s="19">
        <v>0</v>
      </c>
      <c r="M107" s="16" t="s">
        <v>59</v>
      </c>
    </row>
    <row r="108" spans="1:13" x14ac:dyDescent="0.25">
      <c r="A108" s="15" t="s">
        <v>738</v>
      </c>
      <c r="B108" s="16" t="s">
        <v>669</v>
      </c>
      <c r="C108" s="17">
        <v>44977</v>
      </c>
      <c r="D108" s="18">
        <v>0</v>
      </c>
      <c r="E108" s="19">
        <v>0</v>
      </c>
      <c r="F108" s="19">
        <v>0</v>
      </c>
      <c r="G108" s="19">
        <v>0</v>
      </c>
      <c r="H108" s="18">
        <v>0</v>
      </c>
      <c r="I108" s="19">
        <v>0</v>
      </c>
      <c r="J108" s="18">
        <v>0</v>
      </c>
      <c r="K108" s="19">
        <v>0</v>
      </c>
      <c r="L108" s="19">
        <v>0</v>
      </c>
      <c r="M108" s="16" t="s">
        <v>59</v>
      </c>
    </row>
    <row r="109" spans="1:13" x14ac:dyDescent="0.25">
      <c r="A109" s="15" t="s">
        <v>739</v>
      </c>
      <c r="B109" s="16" t="s">
        <v>669</v>
      </c>
      <c r="C109" s="17">
        <v>44977</v>
      </c>
      <c r="D109" s="18">
        <v>0</v>
      </c>
      <c r="E109" s="19">
        <v>0</v>
      </c>
      <c r="F109" s="19">
        <v>0</v>
      </c>
      <c r="G109" s="19">
        <v>0</v>
      </c>
      <c r="H109" s="18">
        <v>0</v>
      </c>
      <c r="I109" s="19">
        <v>0</v>
      </c>
      <c r="J109" s="18">
        <v>0</v>
      </c>
      <c r="K109" s="19">
        <v>0</v>
      </c>
      <c r="L109" s="19">
        <v>0</v>
      </c>
      <c r="M109" s="16" t="s">
        <v>59</v>
      </c>
    </row>
    <row r="110" spans="1:13" x14ac:dyDescent="0.25">
      <c r="A110" s="15" t="s">
        <v>740</v>
      </c>
      <c r="B110" s="16" t="s">
        <v>669</v>
      </c>
      <c r="C110" s="17">
        <v>44977</v>
      </c>
      <c r="D110" s="18">
        <v>0</v>
      </c>
      <c r="E110" s="19">
        <v>0</v>
      </c>
      <c r="F110" s="19">
        <v>0</v>
      </c>
      <c r="G110" s="19">
        <v>0</v>
      </c>
      <c r="H110" s="18">
        <v>0</v>
      </c>
      <c r="I110" s="19">
        <v>0</v>
      </c>
      <c r="J110" s="18">
        <v>0</v>
      </c>
      <c r="K110" s="19">
        <v>0</v>
      </c>
      <c r="L110" s="19">
        <v>0</v>
      </c>
      <c r="M110" s="16" t="s">
        <v>59</v>
      </c>
    </row>
    <row r="111" spans="1:13" x14ac:dyDescent="0.25">
      <c r="A111" s="15" t="s">
        <v>741</v>
      </c>
      <c r="B111" s="16" t="s">
        <v>669</v>
      </c>
      <c r="C111" s="17">
        <v>44977</v>
      </c>
      <c r="D111" s="18">
        <v>0</v>
      </c>
      <c r="E111" s="19">
        <v>0</v>
      </c>
      <c r="F111" s="19">
        <v>0</v>
      </c>
      <c r="G111" s="19">
        <v>0</v>
      </c>
      <c r="H111" s="18">
        <v>0</v>
      </c>
      <c r="I111" s="19">
        <v>0</v>
      </c>
      <c r="J111" s="18">
        <v>0</v>
      </c>
      <c r="K111" s="19">
        <v>0</v>
      </c>
      <c r="L111" s="19">
        <v>0</v>
      </c>
      <c r="M111" s="16" t="s">
        <v>59</v>
      </c>
    </row>
    <row r="112" spans="1:13" x14ac:dyDescent="0.25">
      <c r="A112" s="15" t="s">
        <v>742</v>
      </c>
      <c r="B112" s="16" t="s">
        <v>669</v>
      </c>
      <c r="C112" s="17">
        <v>44977</v>
      </c>
      <c r="D112" s="18">
        <v>0</v>
      </c>
      <c r="E112" s="19">
        <v>0</v>
      </c>
      <c r="F112" s="19">
        <v>0</v>
      </c>
      <c r="G112" s="19">
        <v>0</v>
      </c>
      <c r="H112" s="18">
        <v>0</v>
      </c>
      <c r="I112" s="19">
        <v>0</v>
      </c>
      <c r="J112" s="18">
        <v>0</v>
      </c>
      <c r="K112" s="19">
        <v>0</v>
      </c>
      <c r="L112" s="19">
        <v>0</v>
      </c>
      <c r="M112" s="16" t="s">
        <v>59</v>
      </c>
    </row>
    <row r="113" spans="1:13" x14ac:dyDescent="0.25">
      <c r="A113" s="15" t="s">
        <v>743</v>
      </c>
      <c r="B113" s="16" t="s">
        <v>669</v>
      </c>
      <c r="C113" s="17">
        <v>44977</v>
      </c>
      <c r="D113" s="18">
        <v>0</v>
      </c>
      <c r="E113" s="19">
        <v>0</v>
      </c>
      <c r="F113" s="19">
        <v>0</v>
      </c>
      <c r="G113" s="19">
        <v>0</v>
      </c>
      <c r="H113" s="18">
        <v>0</v>
      </c>
      <c r="I113" s="19">
        <v>0</v>
      </c>
      <c r="J113" s="18">
        <v>0</v>
      </c>
      <c r="K113" s="19">
        <v>0</v>
      </c>
      <c r="L113" s="19">
        <v>0</v>
      </c>
      <c r="M113" s="16" t="s">
        <v>59</v>
      </c>
    </row>
    <row r="114" spans="1:13" x14ac:dyDescent="0.25">
      <c r="A114" s="15" t="s">
        <v>744</v>
      </c>
      <c r="B114" s="16" t="s">
        <v>669</v>
      </c>
      <c r="C114" s="17">
        <v>44977</v>
      </c>
      <c r="D114" s="18">
        <v>0</v>
      </c>
      <c r="E114" s="19">
        <v>0</v>
      </c>
      <c r="F114" s="19">
        <v>0</v>
      </c>
      <c r="G114" s="19">
        <v>0</v>
      </c>
      <c r="H114" s="18">
        <v>0</v>
      </c>
      <c r="I114" s="19">
        <v>0</v>
      </c>
      <c r="J114" s="18">
        <v>0</v>
      </c>
      <c r="K114" s="19">
        <v>0</v>
      </c>
      <c r="L114" s="19">
        <v>0</v>
      </c>
      <c r="M114" s="16" t="s">
        <v>59</v>
      </c>
    </row>
    <row r="115" spans="1:13" x14ac:dyDescent="0.25">
      <c r="A115" s="15" t="s">
        <v>745</v>
      </c>
      <c r="B115" s="16" t="s">
        <v>669</v>
      </c>
      <c r="C115" s="17">
        <v>44977</v>
      </c>
      <c r="D115" s="18">
        <v>0</v>
      </c>
      <c r="E115" s="19">
        <v>0</v>
      </c>
      <c r="F115" s="19">
        <v>0</v>
      </c>
      <c r="G115" s="19">
        <v>0</v>
      </c>
      <c r="H115" s="18">
        <v>0</v>
      </c>
      <c r="I115" s="19">
        <v>0</v>
      </c>
      <c r="J115" s="18">
        <v>0</v>
      </c>
      <c r="K115" s="19">
        <v>0</v>
      </c>
      <c r="L115" s="19">
        <v>0</v>
      </c>
      <c r="M115" s="16" t="s">
        <v>59</v>
      </c>
    </row>
    <row r="116" spans="1:13" x14ac:dyDescent="0.25">
      <c r="A116" s="15" t="s">
        <v>746</v>
      </c>
      <c r="B116" s="16" t="s">
        <v>669</v>
      </c>
      <c r="C116" s="17">
        <v>44977</v>
      </c>
      <c r="D116" s="18">
        <v>0</v>
      </c>
      <c r="E116" s="19">
        <v>0</v>
      </c>
      <c r="F116" s="19">
        <v>0</v>
      </c>
      <c r="G116" s="19">
        <v>0</v>
      </c>
      <c r="H116" s="18">
        <v>0</v>
      </c>
      <c r="I116" s="19">
        <v>0</v>
      </c>
      <c r="J116" s="18">
        <v>0</v>
      </c>
      <c r="K116" s="19">
        <v>0</v>
      </c>
      <c r="L116" s="19">
        <v>0</v>
      </c>
      <c r="M116" s="16" t="s">
        <v>59</v>
      </c>
    </row>
    <row r="117" spans="1:13" x14ac:dyDescent="0.25">
      <c r="A117" s="15" t="s">
        <v>747</v>
      </c>
      <c r="B117" s="16" t="s">
        <v>669</v>
      </c>
      <c r="C117" s="17">
        <v>44977</v>
      </c>
      <c r="D117" s="18">
        <v>0</v>
      </c>
      <c r="E117" s="19">
        <v>0</v>
      </c>
      <c r="F117" s="19">
        <v>0</v>
      </c>
      <c r="G117" s="19">
        <v>0</v>
      </c>
      <c r="H117" s="18">
        <v>0</v>
      </c>
      <c r="I117" s="19">
        <v>0</v>
      </c>
      <c r="J117" s="18">
        <v>0</v>
      </c>
      <c r="K117" s="19">
        <v>0</v>
      </c>
      <c r="L117" s="19">
        <v>0</v>
      </c>
      <c r="M117" s="16" t="s">
        <v>59</v>
      </c>
    </row>
    <row r="118" spans="1:13" x14ac:dyDescent="0.25">
      <c r="A118" s="15" t="s">
        <v>748</v>
      </c>
      <c r="B118" s="16" t="s">
        <v>669</v>
      </c>
      <c r="C118" s="17">
        <v>44977</v>
      </c>
      <c r="D118" s="18">
        <v>0</v>
      </c>
      <c r="E118" s="19">
        <v>0</v>
      </c>
      <c r="F118" s="19">
        <v>0</v>
      </c>
      <c r="G118" s="19">
        <v>0</v>
      </c>
      <c r="H118" s="18">
        <v>0</v>
      </c>
      <c r="I118" s="19">
        <v>0</v>
      </c>
      <c r="J118" s="18">
        <v>0</v>
      </c>
      <c r="K118" s="19">
        <v>0</v>
      </c>
      <c r="L118" s="19">
        <v>0</v>
      </c>
      <c r="M118" s="16" t="s">
        <v>59</v>
      </c>
    </row>
    <row r="119" spans="1:13" x14ac:dyDescent="0.25">
      <c r="A119" s="15" t="s">
        <v>749</v>
      </c>
      <c r="B119" s="16" t="s">
        <v>669</v>
      </c>
      <c r="C119" s="17">
        <v>44977</v>
      </c>
      <c r="D119" s="18">
        <v>0</v>
      </c>
      <c r="E119" s="19">
        <v>0</v>
      </c>
      <c r="F119" s="19">
        <v>0</v>
      </c>
      <c r="G119" s="19">
        <v>0</v>
      </c>
      <c r="H119" s="18">
        <v>0</v>
      </c>
      <c r="I119" s="19">
        <v>0</v>
      </c>
      <c r="J119" s="18">
        <v>0</v>
      </c>
      <c r="K119" s="19">
        <v>0</v>
      </c>
      <c r="L119" s="19">
        <v>0</v>
      </c>
      <c r="M119" s="16" t="s">
        <v>59</v>
      </c>
    </row>
    <row r="120" spans="1:13" x14ac:dyDescent="0.25">
      <c r="A120" s="15" t="s">
        <v>750</v>
      </c>
      <c r="B120" s="16" t="s">
        <v>669</v>
      </c>
      <c r="C120" s="17">
        <v>44977</v>
      </c>
      <c r="D120" s="18">
        <v>0</v>
      </c>
      <c r="E120" s="19">
        <v>0</v>
      </c>
      <c r="F120" s="19">
        <v>0</v>
      </c>
      <c r="G120" s="19">
        <v>0</v>
      </c>
      <c r="H120" s="18">
        <v>0</v>
      </c>
      <c r="I120" s="19">
        <v>0</v>
      </c>
      <c r="J120" s="18">
        <v>0</v>
      </c>
      <c r="K120" s="19">
        <v>0</v>
      </c>
      <c r="L120" s="19">
        <v>0</v>
      </c>
      <c r="M120" s="16" t="s">
        <v>59</v>
      </c>
    </row>
    <row r="121" spans="1:13" x14ac:dyDescent="0.25">
      <c r="A121" s="15" t="s">
        <v>751</v>
      </c>
      <c r="B121" s="16" t="s">
        <v>669</v>
      </c>
      <c r="C121" s="17">
        <v>44977</v>
      </c>
      <c r="D121" s="18">
        <v>0</v>
      </c>
      <c r="E121" s="19">
        <v>0</v>
      </c>
      <c r="F121" s="19">
        <v>0</v>
      </c>
      <c r="G121" s="19">
        <v>0</v>
      </c>
      <c r="H121" s="18">
        <v>0</v>
      </c>
      <c r="I121" s="19">
        <v>0</v>
      </c>
      <c r="J121" s="18">
        <v>0</v>
      </c>
      <c r="K121" s="19">
        <v>0</v>
      </c>
      <c r="L121" s="19">
        <v>0</v>
      </c>
      <c r="M121" s="16" t="s">
        <v>59</v>
      </c>
    </row>
    <row r="122" spans="1:13" x14ac:dyDescent="0.25">
      <c r="A122" s="15" t="s">
        <v>752</v>
      </c>
      <c r="B122" s="16" t="s">
        <v>669</v>
      </c>
      <c r="C122" s="17">
        <v>44977</v>
      </c>
      <c r="D122" s="18">
        <v>0</v>
      </c>
      <c r="E122" s="19">
        <v>0</v>
      </c>
      <c r="F122" s="19">
        <v>0</v>
      </c>
      <c r="G122" s="19">
        <v>0</v>
      </c>
      <c r="H122" s="18">
        <v>0</v>
      </c>
      <c r="I122" s="19">
        <v>0</v>
      </c>
      <c r="J122" s="18">
        <v>0</v>
      </c>
      <c r="K122" s="19">
        <v>0</v>
      </c>
      <c r="L122" s="19">
        <v>0</v>
      </c>
      <c r="M122" s="16" t="s">
        <v>59</v>
      </c>
    </row>
    <row r="123" spans="1:13" x14ac:dyDescent="0.25">
      <c r="A123" s="15" t="s">
        <v>753</v>
      </c>
      <c r="B123" s="16" t="s">
        <v>669</v>
      </c>
      <c r="C123" s="17">
        <v>44977</v>
      </c>
      <c r="D123" s="18">
        <v>0</v>
      </c>
      <c r="E123" s="19">
        <v>0</v>
      </c>
      <c r="F123" s="19">
        <v>0</v>
      </c>
      <c r="G123" s="19">
        <v>0</v>
      </c>
      <c r="H123" s="18">
        <v>0</v>
      </c>
      <c r="I123" s="19">
        <v>0</v>
      </c>
      <c r="J123" s="18">
        <v>0</v>
      </c>
      <c r="K123" s="19">
        <v>0</v>
      </c>
      <c r="L123" s="19">
        <v>0</v>
      </c>
      <c r="M123" s="16" t="s">
        <v>59</v>
      </c>
    </row>
    <row r="124" spans="1:13" x14ac:dyDescent="0.25">
      <c r="A124" s="15" t="s">
        <v>754</v>
      </c>
      <c r="B124" s="16" t="s">
        <v>755</v>
      </c>
      <c r="C124" s="17">
        <v>44977</v>
      </c>
      <c r="D124" s="18">
        <v>0</v>
      </c>
      <c r="E124" s="19">
        <v>0</v>
      </c>
      <c r="F124" s="19">
        <v>0</v>
      </c>
      <c r="G124" s="19">
        <v>0</v>
      </c>
      <c r="H124" s="18">
        <v>0</v>
      </c>
      <c r="I124" s="19">
        <v>0</v>
      </c>
      <c r="J124" s="18">
        <v>0</v>
      </c>
      <c r="K124" s="19">
        <v>0</v>
      </c>
      <c r="L124" s="19">
        <v>0</v>
      </c>
      <c r="M124" s="16" t="s">
        <v>59</v>
      </c>
    </row>
    <row r="125" spans="1:13" x14ac:dyDescent="0.25">
      <c r="A125" s="15" t="s">
        <v>756</v>
      </c>
      <c r="B125" s="16" t="s">
        <v>755</v>
      </c>
      <c r="C125" s="17">
        <v>44977</v>
      </c>
      <c r="D125" s="18">
        <v>0</v>
      </c>
      <c r="E125" s="19">
        <v>0</v>
      </c>
      <c r="F125" s="19">
        <v>0</v>
      </c>
      <c r="G125" s="19">
        <v>0</v>
      </c>
      <c r="H125" s="18">
        <v>0</v>
      </c>
      <c r="I125" s="19">
        <v>0</v>
      </c>
      <c r="J125" s="18">
        <v>0</v>
      </c>
      <c r="K125" s="19">
        <v>0</v>
      </c>
      <c r="L125" s="19">
        <v>0</v>
      </c>
      <c r="M125" s="16" t="s">
        <v>59</v>
      </c>
    </row>
    <row r="126" spans="1:13" x14ac:dyDescent="0.25">
      <c r="A126" s="15" t="s">
        <v>757</v>
      </c>
      <c r="B126" s="16" t="s">
        <v>758</v>
      </c>
      <c r="C126" s="17">
        <v>45449</v>
      </c>
      <c r="D126" s="18">
        <v>0</v>
      </c>
      <c r="E126" s="19">
        <v>7081.9</v>
      </c>
      <c r="F126" s="19">
        <v>0</v>
      </c>
      <c r="G126" s="19">
        <v>7081.9</v>
      </c>
      <c r="H126" s="18">
        <v>0</v>
      </c>
      <c r="I126" s="19">
        <v>-806.54</v>
      </c>
      <c r="J126" s="18">
        <v>0</v>
      </c>
      <c r="K126" s="19">
        <v>-806.54</v>
      </c>
      <c r="L126" s="19">
        <v>6275.36</v>
      </c>
      <c r="M126" s="16" t="s">
        <v>59</v>
      </c>
    </row>
    <row r="127" spans="1:13" x14ac:dyDescent="0.25">
      <c r="A127" s="15" t="s">
        <v>759</v>
      </c>
      <c r="B127" s="16" t="s">
        <v>760</v>
      </c>
      <c r="C127" s="17">
        <v>45444</v>
      </c>
      <c r="D127" s="18">
        <v>0</v>
      </c>
      <c r="E127" s="19">
        <v>218012.7</v>
      </c>
      <c r="F127" s="19">
        <v>0</v>
      </c>
      <c r="G127" s="19">
        <v>218012.7</v>
      </c>
      <c r="H127" s="18">
        <v>0</v>
      </c>
      <c r="I127" s="19">
        <v>-25084.68</v>
      </c>
      <c r="J127" s="18">
        <v>0</v>
      </c>
      <c r="K127" s="19">
        <v>-25084.68</v>
      </c>
      <c r="L127" s="19">
        <v>192928.02</v>
      </c>
      <c r="M127" s="16" t="s">
        <v>59</v>
      </c>
    </row>
    <row r="128" spans="1:13" x14ac:dyDescent="0.25">
      <c r="A128" s="15" t="s">
        <v>761</v>
      </c>
      <c r="B128" s="16" t="s">
        <v>762</v>
      </c>
      <c r="C128" s="17">
        <v>45444</v>
      </c>
      <c r="D128" s="18">
        <v>0</v>
      </c>
      <c r="E128" s="19">
        <v>128599.12</v>
      </c>
      <c r="F128" s="19">
        <v>0</v>
      </c>
      <c r="G128" s="19">
        <v>128599.12</v>
      </c>
      <c r="H128" s="18">
        <v>0</v>
      </c>
      <c r="I128" s="19">
        <v>-15003.24</v>
      </c>
      <c r="J128" s="18">
        <v>0</v>
      </c>
      <c r="K128" s="19">
        <v>-15003.24</v>
      </c>
      <c r="L128" s="19">
        <v>113595.88</v>
      </c>
      <c r="M128" s="16" t="s">
        <v>59</v>
      </c>
    </row>
    <row r="129" spans="1:13" x14ac:dyDescent="0.25">
      <c r="A129" s="15" t="s">
        <v>763</v>
      </c>
      <c r="B129" s="16" t="s">
        <v>764</v>
      </c>
      <c r="C129" s="17">
        <v>45444</v>
      </c>
      <c r="D129" s="18">
        <v>0</v>
      </c>
      <c r="E129" s="19">
        <v>4168.67</v>
      </c>
      <c r="F129" s="19">
        <v>0</v>
      </c>
      <c r="G129" s="19">
        <v>4168.67</v>
      </c>
      <c r="H129" s="18">
        <v>0</v>
      </c>
      <c r="I129" s="19">
        <v>-486.36</v>
      </c>
      <c r="J129" s="18">
        <v>0</v>
      </c>
      <c r="K129" s="19">
        <v>-486.36</v>
      </c>
      <c r="L129" s="19">
        <v>3682.31</v>
      </c>
      <c r="M129" s="16" t="s">
        <v>59</v>
      </c>
    </row>
    <row r="130" spans="1:13" x14ac:dyDescent="0.25">
      <c r="A130" s="15" t="s">
        <v>765</v>
      </c>
      <c r="B130" s="16" t="s">
        <v>764</v>
      </c>
      <c r="C130" s="17">
        <v>45444</v>
      </c>
      <c r="D130" s="18">
        <v>0</v>
      </c>
      <c r="E130" s="19">
        <v>4168.66</v>
      </c>
      <c r="F130" s="19">
        <v>0</v>
      </c>
      <c r="G130" s="19">
        <v>4168.66</v>
      </c>
      <c r="H130" s="18">
        <v>0</v>
      </c>
      <c r="I130" s="19">
        <v>-486.36</v>
      </c>
      <c r="J130" s="18">
        <v>0</v>
      </c>
      <c r="K130" s="19">
        <v>-486.36</v>
      </c>
      <c r="L130" s="19">
        <v>3682.3</v>
      </c>
      <c r="M130" s="16" t="s">
        <v>59</v>
      </c>
    </row>
    <row r="131" spans="1:13" x14ac:dyDescent="0.25">
      <c r="A131" s="15" t="s">
        <v>766</v>
      </c>
      <c r="B131" s="16" t="s">
        <v>767</v>
      </c>
      <c r="C131" s="17">
        <v>45543</v>
      </c>
      <c r="D131" s="18">
        <v>0</v>
      </c>
      <c r="E131" s="19">
        <v>7545.57</v>
      </c>
      <c r="F131" s="19">
        <v>0</v>
      </c>
      <c r="G131" s="19">
        <v>7545.57</v>
      </c>
      <c r="H131" s="18">
        <v>0</v>
      </c>
      <c r="I131" s="19">
        <v>-473.7</v>
      </c>
      <c r="J131" s="18">
        <v>0</v>
      </c>
      <c r="K131" s="19">
        <v>-473.7</v>
      </c>
      <c r="L131" s="19">
        <v>7071.87</v>
      </c>
      <c r="M131" s="16" t="s">
        <v>59</v>
      </c>
    </row>
    <row r="132" spans="1:13" x14ac:dyDescent="0.25">
      <c r="A132" s="15" t="s">
        <v>768</v>
      </c>
      <c r="B132" s="16" t="s">
        <v>769</v>
      </c>
      <c r="C132" s="17">
        <v>45543</v>
      </c>
      <c r="D132" s="18">
        <v>0</v>
      </c>
      <c r="E132" s="19">
        <v>13606.37</v>
      </c>
      <c r="F132" s="19">
        <v>0</v>
      </c>
      <c r="G132" s="19">
        <v>13606.37</v>
      </c>
      <c r="H132" s="18">
        <v>0</v>
      </c>
      <c r="I132" s="19">
        <v>-854.17</v>
      </c>
      <c r="J132" s="18">
        <v>0</v>
      </c>
      <c r="K132" s="19">
        <v>-854.17</v>
      </c>
      <c r="L132" s="19">
        <v>12752.2</v>
      </c>
      <c r="M132" s="16" t="s">
        <v>59</v>
      </c>
    </row>
    <row r="133" spans="1:13" x14ac:dyDescent="0.25">
      <c r="A133" s="15" t="s">
        <v>770</v>
      </c>
      <c r="B133" s="16" t="s">
        <v>771</v>
      </c>
      <c r="C133" s="17">
        <v>45543</v>
      </c>
      <c r="D133" s="18">
        <v>0</v>
      </c>
      <c r="E133" s="19">
        <v>7058.77</v>
      </c>
      <c r="F133" s="19">
        <v>0</v>
      </c>
      <c r="G133" s="19">
        <v>7058.77</v>
      </c>
      <c r="H133" s="18">
        <v>0</v>
      </c>
      <c r="I133" s="19">
        <v>-443.15</v>
      </c>
      <c r="J133" s="18">
        <v>0</v>
      </c>
      <c r="K133" s="19">
        <v>-443.15</v>
      </c>
      <c r="L133" s="19">
        <v>6615.62</v>
      </c>
      <c r="M133" s="16" t="s">
        <v>59</v>
      </c>
    </row>
    <row r="134" spans="1:13" x14ac:dyDescent="0.25">
      <c r="A134" s="15" t="s">
        <v>772</v>
      </c>
      <c r="B134" s="16" t="s">
        <v>758</v>
      </c>
      <c r="C134" s="17">
        <v>45543</v>
      </c>
      <c r="D134" s="18">
        <v>0</v>
      </c>
      <c r="E134" s="19">
        <v>9006.01</v>
      </c>
      <c r="F134" s="19">
        <v>0</v>
      </c>
      <c r="G134" s="19">
        <v>9006.01</v>
      </c>
      <c r="H134" s="18">
        <v>0</v>
      </c>
      <c r="I134" s="19">
        <v>-565.38</v>
      </c>
      <c r="J134" s="18">
        <v>0</v>
      </c>
      <c r="K134" s="19">
        <v>-565.38</v>
      </c>
      <c r="L134" s="19">
        <v>8440.6299999999992</v>
      </c>
      <c r="M134" s="16" t="s">
        <v>59</v>
      </c>
    </row>
    <row r="135" spans="1:13" x14ac:dyDescent="0.25">
      <c r="A135" s="15" t="s">
        <v>773</v>
      </c>
      <c r="B135" s="16" t="s">
        <v>774</v>
      </c>
      <c r="C135" s="17">
        <v>45536</v>
      </c>
      <c r="D135" s="18">
        <v>0</v>
      </c>
      <c r="E135" s="19">
        <v>141891.43</v>
      </c>
      <c r="F135" s="19">
        <v>0</v>
      </c>
      <c r="G135" s="19">
        <v>141891.43</v>
      </c>
      <c r="H135" s="18">
        <v>0</v>
      </c>
      <c r="I135" s="19">
        <v>-9459.44</v>
      </c>
      <c r="J135" s="18">
        <v>0</v>
      </c>
      <c r="K135" s="19">
        <v>-9459.44</v>
      </c>
      <c r="L135" s="19">
        <v>132431.99</v>
      </c>
      <c r="M135" s="16" t="s">
        <v>59</v>
      </c>
    </row>
    <row r="136" spans="1:13" x14ac:dyDescent="0.25">
      <c r="A136" s="15" t="s">
        <v>775</v>
      </c>
      <c r="B136" s="16" t="s">
        <v>776</v>
      </c>
      <c r="C136" s="17">
        <v>42421</v>
      </c>
      <c r="D136" s="18">
        <v>0</v>
      </c>
      <c r="E136" s="19">
        <v>0</v>
      </c>
      <c r="F136" s="19">
        <v>0</v>
      </c>
      <c r="G136" s="19">
        <v>0</v>
      </c>
      <c r="H136" s="18">
        <v>0</v>
      </c>
      <c r="I136" s="19">
        <v>0</v>
      </c>
      <c r="J136" s="18">
        <v>0</v>
      </c>
      <c r="K136" s="19">
        <v>0</v>
      </c>
      <c r="L136" s="19">
        <v>0</v>
      </c>
      <c r="M136" s="16" t="s">
        <v>59</v>
      </c>
    </row>
    <row r="137" spans="1:13" x14ac:dyDescent="0.25">
      <c r="A137" s="15" t="s">
        <v>777</v>
      </c>
      <c r="B137" s="16" t="s">
        <v>778</v>
      </c>
      <c r="C137" s="17">
        <v>42004</v>
      </c>
      <c r="D137" s="18">
        <v>105000</v>
      </c>
      <c r="E137" s="19">
        <v>0</v>
      </c>
      <c r="F137" s="19">
        <v>0</v>
      </c>
      <c r="G137" s="19">
        <v>105000</v>
      </c>
      <c r="H137" s="18">
        <v>-105000</v>
      </c>
      <c r="I137" s="19">
        <v>0</v>
      </c>
      <c r="J137" s="18">
        <v>0</v>
      </c>
      <c r="K137" s="19">
        <v>-105000</v>
      </c>
      <c r="L137" s="19">
        <v>0</v>
      </c>
      <c r="M137" s="16" t="s">
        <v>779</v>
      </c>
    </row>
    <row r="138" spans="1:13" x14ac:dyDescent="0.25">
      <c r="A138" s="15" t="s">
        <v>780</v>
      </c>
      <c r="B138" s="16" t="s">
        <v>781</v>
      </c>
      <c r="C138" s="17">
        <v>42421</v>
      </c>
      <c r="D138" s="18">
        <v>0</v>
      </c>
      <c r="E138" s="19">
        <v>0</v>
      </c>
      <c r="F138" s="19">
        <v>0</v>
      </c>
      <c r="G138" s="19">
        <v>0</v>
      </c>
      <c r="H138" s="18">
        <v>0</v>
      </c>
      <c r="I138" s="19">
        <v>0</v>
      </c>
      <c r="J138" s="18">
        <v>0</v>
      </c>
      <c r="K138" s="19">
        <v>0</v>
      </c>
      <c r="L138" s="19">
        <v>0</v>
      </c>
      <c r="M138" s="16" t="s">
        <v>779</v>
      </c>
    </row>
    <row r="139" spans="1:13" x14ac:dyDescent="0.25">
      <c r="A139" s="15" t="s">
        <v>782</v>
      </c>
      <c r="B139" s="16" t="s">
        <v>783</v>
      </c>
      <c r="C139" s="17">
        <v>42421</v>
      </c>
      <c r="D139" s="18">
        <v>0</v>
      </c>
      <c r="E139" s="19">
        <v>0</v>
      </c>
      <c r="F139" s="19">
        <v>0</v>
      </c>
      <c r="G139" s="19">
        <v>0</v>
      </c>
      <c r="H139" s="18">
        <v>0</v>
      </c>
      <c r="I139" s="19">
        <v>0</v>
      </c>
      <c r="J139" s="18">
        <v>0</v>
      </c>
      <c r="K139" s="19">
        <v>0</v>
      </c>
      <c r="L139" s="19">
        <v>0</v>
      </c>
      <c r="M139" s="16" t="s">
        <v>779</v>
      </c>
    </row>
  </sheetData>
  <autoFilter ref="A3:N3" xr:uid="{041CE560-415B-47CC-B218-AD1CDFF020A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40681903C8D8438DF1F94A1688EA47" ma:contentTypeVersion="11" ma:contentTypeDescription="Create a new document." ma:contentTypeScope="" ma:versionID="6a84d9f494610576ea7a469102640d28">
  <xsd:schema xmlns:xsd="http://www.w3.org/2001/XMLSchema" xmlns:xs="http://www.w3.org/2001/XMLSchema" xmlns:p="http://schemas.microsoft.com/office/2006/metadata/properties" xmlns:ns2="363751dc-ca7d-4a08-a92d-f1f054b5a4e4" xmlns:ns3="a9e9fe53-1a04-49e4-b3eb-489307c29d9a" targetNamespace="http://schemas.microsoft.com/office/2006/metadata/properties" ma:root="true" ma:fieldsID="339a06aadbafb816baec46e65124ce3b" ns2:_="" ns3:_="">
    <xsd:import namespace="363751dc-ca7d-4a08-a92d-f1f054b5a4e4"/>
    <xsd:import namespace="a9e9fe53-1a04-49e4-b3eb-489307c29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751dc-ca7d-4a08-a92d-f1f054b5a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f0bf14-4dff-42f5-9dd6-bbcb15dcd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9fe53-1a04-49e4-b3eb-489307c29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5f68d8-6d4b-4e14-bbf9-63d8029f3458}" ma:internalName="TaxCatchAll" ma:showField="CatchAllData" ma:web="a9e9fe53-1a04-49e4-b3eb-489307c29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3751dc-ca7d-4a08-a92d-f1f054b5a4e4">
      <Terms xmlns="http://schemas.microsoft.com/office/infopath/2007/PartnerControls"/>
    </lcf76f155ced4ddcb4097134ff3c332f>
    <TaxCatchAll xmlns="a9e9fe53-1a04-49e4-b3eb-489307c29d9a" xsi:nil="true"/>
  </documentManagement>
</p:properties>
</file>

<file path=customXml/itemProps1.xml><?xml version="1.0" encoding="utf-8"?>
<ds:datastoreItem xmlns:ds="http://schemas.openxmlformats.org/officeDocument/2006/customXml" ds:itemID="{BFE92F94-96AC-4822-BD4E-A236DA0040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3751dc-ca7d-4a08-a92d-f1f054b5a4e4"/>
    <ds:schemaRef ds:uri="a9e9fe53-1a04-49e4-b3eb-489307c29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8BE552-C754-4048-85F1-E7A0EE707C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2C12E7-DC17-495F-8617-460E7B30DB91}">
  <ds:schemaRefs>
    <ds:schemaRef ds:uri="http://schemas.microsoft.com/office/2006/metadata/properties"/>
    <ds:schemaRef ds:uri="http://schemas.microsoft.com/office/infopath/2007/PartnerControls"/>
    <ds:schemaRef ds:uri="363751dc-ca7d-4a08-a92d-f1f054b5a4e4"/>
    <ds:schemaRef ds:uri="a9e9fe53-1a04-49e4-b3eb-489307c29d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 OSE</vt:lpstr>
      <vt:lpstr>FA Non OSE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Rameshwar Mourya</dc:creator>
  <cp:keywords/>
  <dc:description/>
  <cp:lastModifiedBy>Iain Lawrence</cp:lastModifiedBy>
  <cp:revision/>
  <cp:lastPrinted>2025-07-16T10:17:14Z</cp:lastPrinted>
  <dcterms:created xsi:type="dcterms:W3CDTF">2025-03-03T04:39:35Z</dcterms:created>
  <dcterms:modified xsi:type="dcterms:W3CDTF">2025-08-05T06:34:32Z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0x010100FF40681903C8D8438DF1F94A1688EA47</vt:lpwstr>
  </property>
  <property fmtid="{D5CDD505-2E9C-101B-9397-08002B2CF9AE}" pid="3" name="MediaServiceImageTags">
    <vt:lpwstr/>
  </property>
</Properties>
</file>